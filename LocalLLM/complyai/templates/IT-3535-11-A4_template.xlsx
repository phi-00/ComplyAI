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Verification" sheetId="2" state="visible" r:id="rId2"/>
    <sheet xmlns:r="http://schemas.openxmlformats.org/officeDocument/2006/relationships" name="Dop List" sheetId="3" state="visible" r:id="rId3"/>
  </sheets>
  <definedNames>
    <definedName name="_xlnm.Print_Area" localSheetId="0">'RESUMO'!$A$1:$J$49</definedName>
    <definedName name="_xlnm.Print_Titles" localSheetId="1">'Verification'!$4:$4</definedName>
    <definedName name="_xlnm.Print_Area" localSheetId="1">'Verification'!$C$1:$R$6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dd/mm/yyyy;@"/>
    <numFmt numFmtId="165" formatCode="0.0%"/>
    <numFmt numFmtId="166" formatCode="dd\-mm\-yyyy;@"/>
    <numFmt numFmtId="167" formatCode="yyyy\-mm\-dd;@"/>
  </numFmts>
  <fonts count="64">
    <font>
      <name val="Calibri"/>
      <family val="2"/>
      <color theme="1"/>
      <sz val="11"/>
      <scheme val="minor"/>
    </font>
    <font>
      <name val="Calibri"/>
      <family val="2"/>
      <color indexed="8"/>
      <sz val="16"/>
    </font>
    <font>
      <name val="Calibri"/>
      <family val="2"/>
      <sz val="16"/>
    </font>
    <font>
      <name val="Calibri"/>
      <family val="2"/>
      <sz val="8"/>
    </font>
    <font>
      <name val="Calibri"/>
      <family val="2"/>
      <b val="1"/>
      <color indexed="8"/>
      <sz val="16"/>
    </font>
    <font>
      <name val="Calibri"/>
      <family val="2"/>
      <b val="1"/>
      <color indexed="8"/>
      <sz val="16"/>
    </font>
    <font>
      <name val="Calibri"/>
      <family val="2"/>
      <sz val="8"/>
    </font>
    <font>
      <name val="Calibri"/>
      <family val="2"/>
      <color indexed="8"/>
      <sz val="16"/>
      <u val="single"/>
    </font>
    <font>
      <name val="Calibri"/>
      <family val="2"/>
      <color indexed="8"/>
      <sz val="20"/>
    </font>
    <font>
      <name val="Calibri"/>
      <family val="2"/>
      <sz val="14"/>
    </font>
    <font>
      <name val="Calibri"/>
      <family val="2"/>
      <sz val="20"/>
    </font>
    <font>
      <name val="Calibri"/>
      <family val="2"/>
      <color theme="1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rgb="FF9C0006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color rgb="FF0000FF"/>
      <sz val="11"/>
      <scheme val="minor"/>
    </font>
    <font>
      <name val="Calibri"/>
      <family val="2"/>
      <b val="1"/>
      <color theme="0"/>
      <sz val="20"/>
      <scheme val="minor"/>
    </font>
    <font>
      <name val="Calibri"/>
      <family val="2"/>
      <sz val="20"/>
      <scheme val="minor"/>
    </font>
    <font>
      <name val="Calibri"/>
      <family val="2"/>
      <b val="1"/>
      <sz val="12"/>
      <scheme val="minor"/>
    </font>
    <font>
      <name val="Calibri"/>
      <family val="2"/>
      <b val="1"/>
      <sz val="18"/>
      <scheme val="minor"/>
    </font>
    <font>
      <name val="Calibri"/>
      <family val="2"/>
      <b val="1"/>
      <sz val="20"/>
      <scheme val="minor"/>
    </font>
    <font>
      <name val="Calibri"/>
      <family val="2"/>
      <sz val="12"/>
      <scheme val="minor"/>
    </font>
    <font>
      <name val="Calibri"/>
      <family val="2"/>
      <color rgb="FF9C0006"/>
      <sz val="12"/>
      <scheme val="minor"/>
    </font>
    <font>
      <name val="Calibri"/>
      <family val="2"/>
      <color theme="1"/>
      <sz val="20"/>
      <scheme val="minor"/>
    </font>
    <font>
      <name val="Calibri"/>
      <family val="2"/>
      <b val="1"/>
      <sz val="22"/>
      <scheme val="minor"/>
    </font>
    <font>
      <name val="Calibri"/>
      <family val="2"/>
      <b val="1"/>
      <color theme="1"/>
      <sz val="24"/>
      <scheme val="minor"/>
    </font>
    <font>
      <name val="Calibri"/>
      <family val="2"/>
      <sz val="9"/>
      <scheme val="minor"/>
    </font>
    <font>
      <name val="Calibri"/>
      <family val="2"/>
      <color theme="1"/>
      <sz val="9"/>
      <scheme val="minor"/>
    </font>
    <font>
      <name val="Calibri"/>
      <family val="2"/>
      <color rgb="FF9C0006"/>
      <sz val="9"/>
      <scheme val="minor"/>
    </font>
    <font>
      <name val="Calibri"/>
      <family val="2"/>
      <b val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color theme="1"/>
      <sz val="18"/>
      <scheme val="minor"/>
    </font>
    <font>
      <name val="Calibri"/>
      <family val="2"/>
      <b val="1"/>
      <color theme="0"/>
      <sz val="18"/>
      <scheme val="minor"/>
    </font>
    <font>
      <name val="Calibri"/>
      <family val="2"/>
      <color theme="0"/>
      <sz val="12"/>
      <scheme val="minor"/>
    </font>
    <font>
      <name val="Calibri"/>
      <family val="2"/>
      <color theme="1"/>
      <sz val="10"/>
      <scheme val="minor"/>
    </font>
    <font>
      <name val="Calibri"/>
      <family val="2"/>
      <color rgb="FF0000FF"/>
      <sz val="9"/>
      <scheme val="minor"/>
    </font>
    <font>
      <name val="Calibri"/>
      <family val="2"/>
      <color theme="0" tint="-0.499984740745262"/>
      <sz val="14"/>
      <scheme val="minor"/>
    </font>
    <font>
      <name val="Calibri"/>
      <family val="2"/>
      <color theme="0" tint="-0.499984740745262"/>
      <sz val="14"/>
    </font>
    <font>
      <name val="Calibri"/>
      <family val="2"/>
      <color rgb="FF0000FF"/>
      <sz val="16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0000FF"/>
      <sz val="20"/>
      <scheme val="minor"/>
    </font>
    <font>
      <name val="Calibri"/>
      <family val="2"/>
      <sz val="18"/>
      <scheme val="minor"/>
    </font>
    <font>
      <name val="Calibri"/>
      <family val="2"/>
      <color rgb="FF0000FF"/>
      <sz val="14"/>
      <scheme val="minor"/>
    </font>
    <font>
      <name val="Calibri"/>
      <family val="2"/>
      <color theme="1"/>
      <sz val="16"/>
      <scheme val="minor"/>
    </font>
    <font>
      <name val="Calibri"/>
      <family val="2"/>
      <sz val="14"/>
      <scheme val="minor"/>
    </font>
    <font>
      <name val="Calibri"/>
      <family val="2"/>
      <sz val="16"/>
      <scheme val="minor"/>
    </font>
    <font>
      <name val="Calibri"/>
      <family val="2"/>
      <b val="1"/>
      <color theme="1"/>
      <sz val="20"/>
      <scheme val="minor"/>
    </font>
    <font>
      <name val="Calibri"/>
      <family val="2"/>
      <b val="1"/>
      <color rgb="FF0000FF"/>
      <sz val="16"/>
      <scheme val="minor"/>
    </font>
    <font>
      <name val="Calibri"/>
      <family val="2"/>
      <color rgb="FF0000FF"/>
      <sz val="16"/>
      <scheme val="minor"/>
    </font>
    <font>
      <name val="Calibri"/>
      <family val="2"/>
      <color rgb="FF0000FF"/>
      <sz val="18"/>
      <scheme val="minor"/>
    </font>
    <font>
      <name val="Calibri"/>
      <family val="2"/>
      <b val="1"/>
      <color rgb="FF000099"/>
      <sz val="24"/>
      <scheme val="minor"/>
    </font>
    <font>
      <name val="Calibri"/>
      <family val="2"/>
      <color theme="10"/>
      <sz val="16"/>
      <u val="single"/>
      <scheme val="minor"/>
    </font>
    <font>
      <name val="Calibri"/>
      <family val="2"/>
      <b val="1"/>
      <color rgb="FF000000"/>
      <sz val="16"/>
    </font>
    <font>
      <name val="Calibri"/>
      <family val="2"/>
      <b val="1"/>
      <color theme="0"/>
      <sz val="11"/>
      <scheme val="minor"/>
    </font>
    <font>
      <name val="Calibri"/>
      <family val="2"/>
      <color theme="3"/>
      <sz val="9"/>
      <u val="single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color rgb="FF0070C0"/>
      <sz val="16"/>
      <u val="single"/>
    </font>
    <font>
      <name val="Calibri"/>
      <family val="2"/>
      <b val="1"/>
      <color theme="1"/>
      <sz val="9"/>
      <u val="single"/>
      <scheme val="minor"/>
    </font>
    <font>
      <name val="Calibri"/>
      <family val="2"/>
      <b val="1"/>
      <color theme="0"/>
      <sz val="16"/>
      <scheme val="minor"/>
    </font>
  </fonts>
  <fills count="19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3" tint="0.399975585192419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5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ck">
        <color theme="0"/>
      </left>
      <right/>
      <top/>
      <bottom/>
      <diagonal/>
    </border>
    <border>
      <left style="thick">
        <color theme="0"/>
      </left>
      <right style="thick">
        <color theme="0"/>
      </right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</borders>
  <cellStyleXfs count="7">
    <xf numFmtId="0" fontId="11" fillId="0" borderId="0"/>
    <xf numFmtId="0" fontId="12" fillId="2" borderId="0"/>
    <xf numFmtId="0" fontId="13" fillId="3" borderId="37"/>
    <xf numFmtId="0" fontId="14" fillId="0" borderId="0"/>
    <xf numFmtId="0" fontId="15" fillId="4" borderId="0"/>
    <xf numFmtId="0" fontId="11" fillId="5" borderId="38"/>
    <xf numFmtId="9" fontId="11" fillId="0" borderId="0"/>
  </cellStyleXfs>
  <cellXfs count="300">
    <xf numFmtId="0" fontId="0" fillId="0" borderId="0" pivotButton="0" quotePrefix="0" xfId="0"/>
    <xf numFmtId="0" fontId="17" fillId="0" borderId="0" pivotButton="0" quotePrefix="0" xfId="0"/>
    <xf numFmtId="0" fontId="0" fillId="0" borderId="0" applyAlignment="1" pivotButton="0" quotePrefix="0" xfId="0">
      <alignment vertical="center"/>
    </xf>
    <xf numFmtId="0" fontId="11" fillId="5" borderId="38" applyAlignment="1" pivotButton="0" quotePrefix="0" xfId="5">
      <alignment vertical="center"/>
    </xf>
    <xf numFmtId="0" fontId="15" fillId="4" borderId="0" applyAlignment="1" pivotButton="0" quotePrefix="0" xfId="4">
      <alignment vertical="center"/>
    </xf>
    <xf numFmtId="0" fontId="12" fillId="2" borderId="0" applyAlignment="1" pivotButton="0" quotePrefix="0" xfId="1">
      <alignment vertical="center"/>
    </xf>
    <xf numFmtId="0" fontId="0" fillId="6" borderId="0" pivotButton="0" quotePrefix="0" xfId="0"/>
    <xf numFmtId="0" fontId="0" fillId="6" borderId="39" pivotButton="0" quotePrefix="0" xfId="0"/>
    <xf numFmtId="0" fontId="0" fillId="6" borderId="40" pivotButton="0" quotePrefix="0" xfId="0"/>
    <xf numFmtId="0" fontId="0" fillId="0" borderId="1" pivotButton="0" quotePrefix="0" xfId="0"/>
    <xf numFmtId="0" fontId="0" fillId="7" borderId="2" applyAlignment="1" pivotButton="0" quotePrefix="0" xfId="0">
      <alignment horizontal="left" vertical="center"/>
    </xf>
    <xf numFmtId="164" fontId="0" fillId="7" borderId="3" applyAlignment="1" pivotButton="0" quotePrefix="0" xfId="0">
      <alignment horizontal="left" vertical="center"/>
    </xf>
    <xf numFmtId="0" fontId="0" fillId="7" borderId="3" pivotButton="0" quotePrefix="0" xfId="0"/>
    <xf numFmtId="0" fontId="18" fillId="7" borderId="0" applyAlignment="1" pivotButton="0" quotePrefix="0" xfId="0">
      <alignment vertical="center" wrapText="1"/>
    </xf>
    <xf numFmtId="0" fontId="16" fillId="7" borderId="1" applyAlignment="1" pivotButton="0" quotePrefix="0" xfId="0">
      <alignment vertical="center"/>
    </xf>
    <xf numFmtId="0" fontId="18" fillId="7" borderId="1" applyAlignment="1" pivotButton="0" quotePrefix="0" xfId="0">
      <alignment vertical="center" wrapText="1"/>
    </xf>
    <xf numFmtId="0" fontId="19" fillId="8" borderId="4" applyAlignment="1" pivotButton="0" quotePrefix="0" xfId="0">
      <alignment horizontal="center" vertical="center" wrapText="1"/>
    </xf>
    <xf numFmtId="165" fontId="20" fillId="0" borderId="0" applyAlignment="1" pivotButton="0" quotePrefix="0" xfId="0">
      <alignment horizontal="center" vertical="center"/>
    </xf>
    <xf numFmtId="0" fontId="21" fillId="0" borderId="4" applyAlignment="1" pivotButton="0" quotePrefix="0" xfId="0">
      <alignment horizontal="center" vertical="center" wrapText="1"/>
    </xf>
    <xf numFmtId="0" fontId="19" fillId="8" borderId="4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center"/>
    </xf>
    <xf numFmtId="0" fontId="2" fillId="0" borderId="3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22" fillId="9" borderId="41" applyAlignment="1" pivotButton="0" quotePrefix="0" xfId="2">
      <alignment horizontal="center" vertical="top" wrapText="1"/>
    </xf>
    <xf numFmtId="0" fontId="22" fillId="9" borderId="42" applyAlignment="1" pivotButton="0" quotePrefix="0" xfId="2">
      <alignment horizontal="center" vertical="top" wrapText="1"/>
    </xf>
    <xf numFmtId="0" fontId="22" fillId="9" borderId="43" applyAlignment="1" pivotButton="0" quotePrefix="0" xfId="2">
      <alignment horizontal="center" vertical="top" wrapText="1"/>
    </xf>
    <xf numFmtId="0" fontId="2" fillId="0" borderId="3" applyAlignment="1" pivotButton="0" quotePrefix="0" xfId="0">
      <alignment vertical="top" wrapText="1"/>
    </xf>
    <xf numFmtId="0" fontId="0" fillId="10" borderId="0" pivotButton="0" quotePrefix="0" xfId="0"/>
    <xf numFmtId="0" fontId="2" fillId="0" borderId="5" applyAlignment="1" pivotButton="0" quotePrefix="0" xfId="0">
      <alignment vertical="top" wrapText="1"/>
    </xf>
    <xf numFmtId="0" fontId="2" fillId="0" borderId="5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/>
    </xf>
    <xf numFmtId="0" fontId="17" fillId="0" borderId="1" applyAlignment="1" pivotButton="0" quotePrefix="0" xfId="0">
      <alignment horizontal="right"/>
    </xf>
    <xf numFmtId="0" fontId="17" fillId="0" borderId="1" applyAlignment="1" pivotButton="0" quotePrefix="0" xfId="0">
      <alignment horizontal="center"/>
    </xf>
    <xf numFmtId="0" fontId="17" fillId="0" borderId="1" pivotButton="0" quotePrefix="0" xfId="0"/>
    <xf numFmtId="0" fontId="1" fillId="0" borderId="6" applyAlignment="1" pivotButton="0" quotePrefix="0" xfId="0">
      <alignment horizontal="center" vertical="center" wrapText="1"/>
    </xf>
    <xf numFmtId="0" fontId="17" fillId="0" borderId="7" applyAlignment="1" pivotButton="0" quotePrefix="0" xfId="0">
      <alignment horizontal="right"/>
    </xf>
    <xf numFmtId="0" fontId="23" fillId="0" borderId="8" applyAlignment="1" pivotButton="0" quotePrefix="0" xfId="5">
      <alignment horizontal="center" vertical="center" wrapText="1"/>
    </xf>
    <xf numFmtId="0" fontId="23" fillId="0" borderId="2" applyAlignment="1" pivotButton="0" quotePrefix="0" xfId="5">
      <alignment horizontal="center" vertical="center" wrapText="1"/>
    </xf>
    <xf numFmtId="0" fontId="23" fillId="0" borderId="2" applyAlignment="1" pivotButton="0" quotePrefix="0" xfId="0">
      <alignment horizontal="center" vertical="center"/>
    </xf>
    <xf numFmtId="0" fontId="24" fillId="7" borderId="3" applyAlignment="1" pivotButton="0" quotePrefix="0" xfId="1">
      <alignment horizontal="left" vertical="center" indent="1"/>
    </xf>
    <xf numFmtId="0" fontId="25" fillId="7" borderId="3" applyAlignment="1" pivotButton="0" quotePrefix="0" xfId="4">
      <alignment horizontal="left" vertical="center" indent="1"/>
    </xf>
    <xf numFmtId="0" fontId="24" fillId="11" borderId="3" applyAlignment="1" pivotButton="0" quotePrefix="0" xfId="1">
      <alignment horizontal="left" vertical="center" indent="1"/>
    </xf>
    <xf numFmtId="0" fontId="21" fillId="10" borderId="42" applyAlignment="1" pivotButton="0" quotePrefix="0" xfId="0">
      <alignment horizontal="center" vertical="center" wrapText="1"/>
    </xf>
    <xf numFmtId="0" fontId="23" fillId="0" borderId="9" applyAlignment="1" pivotButton="0" quotePrefix="0" xfId="0">
      <alignment horizontal="left" vertical="center"/>
    </xf>
    <xf numFmtId="0" fontId="17" fillId="0" borderId="9" pivotButton="0" quotePrefix="0" xfId="0"/>
    <xf numFmtId="0" fontId="23" fillId="0" borderId="10" applyAlignment="1" pivotButton="0" quotePrefix="0" xfId="0">
      <alignment horizontal="left" vertical="center"/>
    </xf>
    <xf numFmtId="0" fontId="28" fillId="0" borderId="1" applyAlignment="1" pivotButton="0" quotePrefix="0" xfId="0">
      <alignment vertical="center"/>
    </xf>
    <xf numFmtId="0" fontId="23" fillId="0" borderId="9" applyAlignment="1" pivotButton="0" quotePrefix="0" xfId="0">
      <alignment horizontal="center" vertical="center"/>
    </xf>
    <xf numFmtId="0" fontId="23" fillId="0" borderId="11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 wrapText="1"/>
    </xf>
    <xf numFmtId="0" fontId="19" fillId="8" borderId="0" applyAlignment="1" pivotButton="0" quotePrefix="0" xfId="0">
      <alignment horizontal="center" vertical="center" wrapText="1"/>
    </xf>
    <xf numFmtId="0" fontId="29" fillId="12" borderId="3" applyAlignment="1" pivotButton="0" quotePrefix="0" xfId="1">
      <alignment horizontal="left" vertical="center" indent="1"/>
    </xf>
    <xf numFmtId="0" fontId="30" fillId="0" borderId="0" pivotButton="0" quotePrefix="0" xfId="0"/>
    <xf numFmtId="0" fontId="31" fillId="12" borderId="3" applyAlignment="1" pivotButton="0" quotePrefix="0" xfId="4">
      <alignment horizontal="left" vertical="center" indent="1"/>
    </xf>
    <xf numFmtId="0" fontId="3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 indent="1"/>
    </xf>
    <xf numFmtId="0" fontId="33" fillId="0" borderId="0" applyAlignment="1" pivotButton="0" quotePrefix="0" xfId="0">
      <alignment vertical="center"/>
    </xf>
    <xf numFmtId="0" fontId="34" fillId="0" borderId="0" applyAlignment="1" pivotButton="0" quotePrefix="0" xfId="0">
      <alignment vertical="center"/>
    </xf>
    <xf numFmtId="0" fontId="34" fillId="0" borderId="0" applyAlignment="1" pivotButton="0" quotePrefix="0" xfId="0">
      <alignment horizontal="left" vertical="center"/>
    </xf>
    <xf numFmtId="0" fontId="32" fillId="0" borderId="3" applyAlignment="1" pivotButton="0" quotePrefix="0" xfId="0">
      <alignment horizontal="center" vertical="center"/>
    </xf>
    <xf numFmtId="0" fontId="33" fillId="0" borderId="1" applyAlignment="1" pivotButton="0" quotePrefix="0" xfId="0">
      <alignment vertical="center"/>
    </xf>
    <xf numFmtId="0" fontId="17" fillId="0" borderId="13" applyAlignment="1" pivotButton="0" quotePrefix="0" xfId="0">
      <alignment horizontal="right"/>
    </xf>
    <xf numFmtId="0" fontId="35" fillId="8" borderId="4" applyAlignment="1" pivotButton="0" quotePrefix="0" xfId="0">
      <alignment horizontal="center" vertical="center" wrapText="1"/>
    </xf>
    <xf numFmtId="0" fontId="36" fillId="0" borderId="0" applyAlignment="1" pivotButton="0" quotePrefix="0" xfId="0">
      <alignment horizontal="right" vertical="center"/>
    </xf>
    <xf numFmtId="0" fontId="37" fillId="8" borderId="14" applyAlignment="1" pivotButton="0" quotePrefix="0" xfId="0">
      <alignment horizontal="right" vertical="center" wrapText="1"/>
    </xf>
    <xf numFmtId="0" fontId="36" fillId="0" borderId="15" applyAlignment="1" pivotButton="0" quotePrefix="0" xfId="0">
      <alignment horizontal="right" vertical="center"/>
    </xf>
    <xf numFmtId="0" fontId="36" fillId="0" borderId="16" applyAlignment="1" pivotButton="0" quotePrefix="0" xfId="0">
      <alignment horizontal="right" vertical="center"/>
    </xf>
    <xf numFmtId="0" fontId="29" fillId="10" borderId="3" applyAlignment="1" pivotButton="0" quotePrefix="0" xfId="1">
      <alignment horizontal="left" vertical="center" wrapText="1" indent="1"/>
    </xf>
    <xf numFmtId="0" fontId="0" fillId="0" borderId="2" applyAlignment="1" pivotButton="0" quotePrefix="0" xfId="0">
      <alignment vertical="top"/>
    </xf>
    <xf numFmtId="0" fontId="28" fillId="0" borderId="17" applyAlignment="1" pivotButton="0" quotePrefix="0" xfId="0">
      <alignment vertical="center"/>
    </xf>
    <xf numFmtId="0" fontId="28" fillId="0" borderId="18" applyAlignment="1" pivotButton="0" quotePrefix="0" xfId="0">
      <alignment vertical="center"/>
    </xf>
    <xf numFmtId="0" fontId="0" fillId="0" borderId="18" applyAlignment="1" pivotButton="0" quotePrefix="0" xfId="0">
      <alignment horizontal="left" vertical="top"/>
    </xf>
    <xf numFmtId="0" fontId="16" fillId="13" borderId="11" applyAlignment="1" pivotButton="0" quotePrefix="0" xfId="0">
      <alignment vertical="center"/>
    </xf>
    <xf numFmtId="0" fontId="16" fillId="13" borderId="9" pivotButton="0" quotePrefix="0" xfId="0"/>
    <xf numFmtId="0" fontId="38" fillId="14" borderId="0" applyAlignment="1" pivotButton="0" quotePrefix="0" xfId="4">
      <alignment vertical="center"/>
    </xf>
    <xf numFmtId="166" fontId="2" fillId="0" borderId="5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16" fillId="13" borderId="9" applyAlignment="1" pivotButton="0" quotePrefix="0" xfId="0">
      <alignment horizontal="left"/>
    </xf>
    <xf numFmtId="0" fontId="39" fillId="7" borderId="11" applyAlignment="1" pivotButton="0" quotePrefix="0" xfId="0">
      <alignment horizontal="left" vertical="top" wrapText="1"/>
    </xf>
    <xf numFmtId="166" fontId="39" fillId="7" borderId="11" applyAlignment="1" pivotButton="0" quotePrefix="0" xfId="0">
      <alignment horizontal="left" vertical="top" wrapText="1"/>
    </xf>
    <xf numFmtId="0" fontId="40" fillId="9" borderId="3" applyAlignment="1" pivotButton="0" quotePrefix="0" xfId="1">
      <alignment horizontal="left" vertical="center" wrapText="1" indent="1"/>
    </xf>
    <xf numFmtId="0" fontId="18" fillId="0" borderId="0" pivotButton="0" quotePrefix="0" xfId="0"/>
    <xf numFmtId="0" fontId="0" fillId="0" borderId="0" applyAlignment="1" pivotButton="0" quotePrefix="0" xfId="0">
      <alignment horizontal="left"/>
    </xf>
    <xf numFmtId="0" fontId="3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vertical="center"/>
    </xf>
    <xf numFmtId="0" fontId="39" fillId="15" borderId="0" applyAlignment="1" pivotButton="0" quotePrefix="0" xfId="0">
      <alignment vertical="center"/>
    </xf>
    <xf numFmtId="165" fontId="32" fillId="0" borderId="19" applyAlignment="1" pivotButton="0" quotePrefix="0" xfId="6">
      <alignment horizontal="center" vertical="center"/>
    </xf>
    <xf numFmtId="0" fontId="34" fillId="0" borderId="1" applyAlignment="1" pivotButton="0" quotePrefix="0" xfId="0">
      <alignment vertical="center"/>
    </xf>
    <xf numFmtId="167" fontId="21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/>
    </xf>
    <xf numFmtId="0" fontId="17" fillId="16" borderId="0" applyAlignment="1" pivotButton="0" quotePrefix="0" xfId="0">
      <alignment horizontal="right"/>
    </xf>
    <xf numFmtId="0" fontId="19" fillId="16" borderId="14" applyAlignment="1" pivotButton="0" quotePrefix="0" xfId="0">
      <alignment horizontal="right" vertical="center" wrapText="1"/>
    </xf>
    <xf numFmtId="0" fontId="19" fillId="16" borderId="6" applyAlignment="1" pivotButton="0" quotePrefix="0" xfId="0">
      <alignment horizontal="right" vertical="center" wrapText="1"/>
    </xf>
    <xf numFmtId="0" fontId="41" fillId="16" borderId="8" applyAlignment="1" pivotButton="0" quotePrefix="0" xfId="0">
      <alignment horizontal="right"/>
    </xf>
    <xf numFmtId="0" fontId="41" fillId="16" borderId="20" applyAlignment="1" pivotButton="0" quotePrefix="0" xfId="0">
      <alignment horizontal="right"/>
    </xf>
    <xf numFmtId="0" fontId="42" fillId="16" borderId="3" applyAlignment="1" pivotButton="0" quotePrefix="0" xfId="0">
      <alignment horizontal="right" vertical="top" wrapText="1"/>
    </xf>
    <xf numFmtId="0" fontId="42" fillId="16" borderId="8" applyAlignment="1" pivotButton="0" quotePrefix="0" xfId="0">
      <alignment horizontal="right" vertical="top" wrapText="1"/>
    </xf>
    <xf numFmtId="0" fontId="19" fillId="8" borderId="4" applyAlignment="1" pivotButton="0" quotePrefix="0" xfId="0">
      <alignment horizontal="center" vertical="top" wrapText="1"/>
    </xf>
    <xf numFmtId="0" fontId="17" fillId="0" borderId="0" applyAlignment="1" pivotButton="0" quotePrefix="0" xfId="0">
      <alignment horizontal="left"/>
    </xf>
    <xf numFmtId="0" fontId="18" fillId="0" borderId="1" applyAlignment="1" pivotButton="0" quotePrefix="0" xfId="0">
      <alignment horizontal="left"/>
    </xf>
    <xf numFmtId="0" fontId="43" fillId="0" borderId="5" applyAlignment="1" pivotButton="0" quotePrefix="0" xfId="0">
      <alignment horizontal="left" vertical="center" wrapText="1"/>
    </xf>
    <xf numFmtId="0" fontId="43" fillId="0" borderId="3" applyAlignment="1" pivotButton="0" quotePrefix="0" xfId="0">
      <alignment horizontal="left" vertical="top" wrapText="1"/>
    </xf>
    <xf numFmtId="0" fontId="18" fillId="0" borderId="1" applyAlignment="1" pivotButton="0" quotePrefix="0" xfId="0">
      <alignment horizontal="left" vertical="top"/>
    </xf>
    <xf numFmtId="0" fontId="16" fillId="0" borderId="0" applyAlignment="1" pivotButton="0" quotePrefix="0" xfId="0">
      <alignment horizontal="center" vertical="center"/>
    </xf>
    <xf numFmtId="0" fontId="44" fillId="0" borderId="0" applyAlignment="1" pivotButton="0" quotePrefix="0" xfId="0">
      <alignment horizontal="right" vertical="top"/>
    </xf>
    <xf numFmtId="2" fontId="44" fillId="0" borderId="0" applyAlignment="1" pivotButton="0" quotePrefix="0" xfId="0">
      <alignment horizontal="right" vertical="top"/>
    </xf>
    <xf numFmtId="167" fontId="45" fillId="0" borderId="0" applyAlignment="1" pivotButton="0" quotePrefix="0" xfId="0">
      <alignment horizontal="center" vertical="center"/>
    </xf>
    <xf numFmtId="0" fontId="45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top"/>
    </xf>
    <xf numFmtId="0" fontId="1" fillId="0" borderId="12" applyAlignment="1" pivotButton="0" quotePrefix="0" xfId="0">
      <alignment horizontal="center" vertical="top" wrapText="1"/>
    </xf>
    <xf numFmtId="0" fontId="1" fillId="0" borderId="3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center" vertical="top"/>
    </xf>
    <xf numFmtId="165" fontId="22" fillId="0" borderId="0" applyAlignment="1" pivotButton="0" quotePrefix="0" xfId="1">
      <alignment horizontal="left" vertical="center"/>
    </xf>
    <xf numFmtId="0" fontId="20" fillId="0" borderId="21" applyAlignment="1" pivotButton="0" quotePrefix="0" xfId="0">
      <alignment horizontal="center" vertical="center"/>
    </xf>
    <xf numFmtId="0" fontId="20" fillId="0" borderId="8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7" fillId="0" borderId="18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46" fillId="0" borderId="22" applyAlignment="1" pivotButton="0" quotePrefix="0" xfId="2">
      <alignment horizontal="center" vertical="center" wrapText="1"/>
    </xf>
    <xf numFmtId="0" fontId="46" fillId="0" borderId="3" applyAlignment="1" pivotButton="0" quotePrefix="0" xfId="2">
      <alignment horizontal="center" vertical="center" wrapText="1"/>
    </xf>
    <xf numFmtId="0" fontId="20" fillId="0" borderId="2" applyAlignment="1" pivotButton="0" quotePrefix="0" xfId="0">
      <alignment horizontal="center" vertical="center"/>
    </xf>
    <xf numFmtId="165" fontId="20" fillId="0" borderId="0" applyAlignment="1" pivotButton="0" quotePrefix="0" xfId="0">
      <alignment horizontal="left" vertical="center"/>
    </xf>
    <xf numFmtId="0" fontId="14" fillId="0" borderId="12" applyAlignment="1" pivotButton="0" quotePrefix="0" xfId="3">
      <alignment horizontal="center" vertical="top" wrapText="1"/>
    </xf>
    <xf numFmtId="0" fontId="29" fillId="10" borderId="8" applyAlignment="1" pivotButton="0" quotePrefix="0" xfId="1">
      <alignment horizontal="left" vertical="center" wrapText="1" indent="1"/>
    </xf>
    <xf numFmtId="0" fontId="39" fillId="0" borderId="0" pivotButton="0" quotePrefix="0" xfId="0"/>
    <xf numFmtId="0" fontId="39" fillId="0" borderId="0" applyAlignment="1" pivotButton="0" quotePrefix="0" xfId="0">
      <alignment vertical="center"/>
    </xf>
    <xf numFmtId="0" fontId="2" fillId="0" borderId="3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center" vertical="center"/>
    </xf>
    <xf numFmtId="0" fontId="28" fillId="0" borderId="18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17" fillId="0" borderId="18" applyAlignment="1" pivotButton="0" quotePrefix="0" xfId="0">
      <alignment horizontal="left" vertical="center"/>
    </xf>
    <xf numFmtId="0" fontId="42" fillId="16" borderId="3" applyAlignment="1" pivotButton="0" quotePrefix="0" xfId="0">
      <alignment horizontal="left" vertical="center" wrapText="1"/>
    </xf>
    <xf numFmtId="0" fontId="0" fillId="0" borderId="18" applyAlignment="1" pivotButton="0" quotePrefix="0" xfId="0">
      <alignment horizontal="left" vertical="center"/>
    </xf>
    <xf numFmtId="0" fontId="17" fillId="0" borderId="1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" fillId="7" borderId="12" applyAlignment="1" pivotButton="0" quotePrefix="0" xfId="0">
      <alignment horizontal="center" vertical="top" wrapText="1"/>
    </xf>
    <xf numFmtId="0" fontId="14" fillId="0" borderId="0" pivotButton="0" quotePrefix="0" xfId="3"/>
    <xf numFmtId="0" fontId="42" fillId="16" borderId="3" applyAlignment="1" pivotButton="0" quotePrefix="0" xfId="0">
      <alignment horizontal="right" vertical="center" wrapText="1"/>
    </xf>
    <xf numFmtId="164" fontId="30" fillId="7" borderId="3" applyAlignment="1" pivotButton="0" quotePrefix="0" xfId="0">
      <alignment horizontal="left" vertical="top"/>
    </xf>
    <xf numFmtId="0" fontId="30" fillId="7" borderId="3" applyAlignment="1" pivotButton="0" quotePrefix="1" xfId="0">
      <alignment horizontal="left" vertical="top" wrapText="1"/>
    </xf>
    <xf numFmtId="0" fontId="30" fillId="7" borderId="2" applyAlignment="1" pivotButton="0" quotePrefix="0" xfId="0">
      <alignment horizontal="left" vertical="top"/>
    </xf>
    <xf numFmtId="0" fontId="30" fillId="7" borderId="3" applyAlignment="1" pivotButton="0" quotePrefix="0" xfId="0">
      <alignment horizontal="left" vertical="top" wrapText="1"/>
    </xf>
    <xf numFmtId="14" fontId="30" fillId="7" borderId="2" applyAlignment="1" pivotButton="0" quotePrefix="1" xfId="0">
      <alignment horizontal="left" vertical="top"/>
    </xf>
    <xf numFmtId="0" fontId="30" fillId="7" borderId="2" applyAlignment="1" pivotButton="0" quotePrefix="1" xfId="0">
      <alignment horizontal="left" vertical="top"/>
    </xf>
    <xf numFmtId="14" fontId="18" fillId="7" borderId="1" applyAlignment="1" pivotButton="0" quotePrefix="0" xfId="0">
      <alignment horizontal="left" vertical="center" wrapText="1"/>
    </xf>
    <xf numFmtId="0" fontId="9" fillId="0" borderId="3" applyAlignment="1" pivotButton="0" quotePrefix="0" xfId="0">
      <alignment vertical="top" wrapText="1"/>
    </xf>
    <xf numFmtId="0" fontId="47" fillId="0" borderId="1" applyAlignment="1" pivotButton="0" quotePrefix="0" xfId="0">
      <alignment horizontal="left" vertical="center" wrapText="1"/>
    </xf>
    <xf numFmtId="0" fontId="47" fillId="0" borderId="18" applyAlignment="1" pivotButton="0" quotePrefix="0" xfId="0">
      <alignment vertical="center" wrapText="1"/>
    </xf>
    <xf numFmtId="0" fontId="23" fillId="0" borderId="3" applyAlignment="1" pivotButton="0" quotePrefix="0" xfId="5">
      <alignment horizontal="center" vertical="center" wrapText="1"/>
    </xf>
    <xf numFmtId="0" fontId="23" fillId="0" borderId="22" applyAlignment="1" pivotButton="0" quotePrefix="0" xfId="5">
      <alignment horizontal="center" vertical="center" wrapText="1"/>
    </xf>
    <xf numFmtId="0" fontId="0" fillId="0" borderId="23" applyAlignment="1" pivotButton="0" quotePrefix="0" xfId="0">
      <alignment horizontal="left" vertical="center"/>
    </xf>
    <xf numFmtId="0" fontId="2" fillId="0" borderId="22" applyAlignment="1" pivotButton="0" quotePrefix="0" xfId="0">
      <alignment horizontal="center" vertical="top" wrapText="1"/>
    </xf>
    <xf numFmtId="0" fontId="45" fillId="0" borderId="3" applyAlignment="1" pivotButton="0" quotePrefix="0" xfId="5">
      <alignment horizontal="left" vertical="center" wrapText="1"/>
    </xf>
    <xf numFmtId="0" fontId="1" fillId="0" borderId="22" applyAlignment="1" pivotButton="0" quotePrefix="0" xfId="0">
      <alignment horizontal="center" vertical="top" wrapText="1"/>
    </xf>
    <xf numFmtId="0" fontId="43" fillId="0" borderId="22" applyAlignment="1" pivotButton="0" quotePrefix="0" xfId="0">
      <alignment horizontal="left" vertical="top" wrapText="1"/>
    </xf>
    <xf numFmtId="0" fontId="2" fillId="0" borderId="22" applyAlignment="1" pivotButton="0" quotePrefix="0" xfId="0">
      <alignment vertical="top" wrapText="1"/>
    </xf>
    <xf numFmtId="0" fontId="2" fillId="0" borderId="22" applyAlignment="1" pivotButton="0" quotePrefix="0" xfId="0">
      <alignment horizontal="center" vertical="center" wrapText="1"/>
    </xf>
    <xf numFmtId="0" fontId="26" fillId="0" borderId="1" applyAlignment="1" pivotButton="0" quotePrefix="0" xfId="0">
      <alignment horizontal="center" vertical="top"/>
    </xf>
    <xf numFmtId="0" fontId="8" fillId="0" borderId="12" applyAlignment="1" pivotButton="0" quotePrefix="0" xfId="0">
      <alignment horizontal="center" vertical="top" wrapText="1"/>
    </xf>
    <xf numFmtId="0" fontId="23" fillId="0" borderId="5" applyAlignment="1" pivotButton="0" quotePrefix="0" xfId="5">
      <alignment horizontal="center" vertical="center" wrapText="1"/>
    </xf>
    <xf numFmtId="0" fontId="46" fillId="0" borderId="5" applyAlignment="1" pivotButton="0" quotePrefix="0" xfId="2">
      <alignment horizontal="center" vertical="center" wrapText="1"/>
    </xf>
    <xf numFmtId="0" fontId="23" fillId="0" borderId="18" applyAlignment="1" pivotButton="0" quotePrefix="0" xfId="5">
      <alignment horizontal="center" vertical="center" wrapText="1"/>
    </xf>
    <xf numFmtId="0" fontId="0" fillId="0" borderId="24" applyAlignment="1" pivotButton="0" quotePrefix="0" xfId="0">
      <alignment horizontal="left" vertical="center"/>
    </xf>
    <xf numFmtId="0" fontId="2" fillId="0" borderId="3" applyAlignment="1" pivotButton="0" quotePrefix="1" xfId="0">
      <alignment vertical="top" wrapText="1"/>
    </xf>
    <xf numFmtId="0" fontId="48" fillId="0" borderId="1" applyAlignment="1" pivotButton="0" quotePrefix="0" xfId="0">
      <alignment horizontal="left" vertical="center"/>
    </xf>
    <xf numFmtId="0" fontId="34" fillId="0" borderId="18" applyAlignment="1" pivotButton="0" quotePrefix="0" xfId="0">
      <alignment horizontal="center" vertical="center"/>
    </xf>
    <xf numFmtId="0" fontId="49" fillId="0" borderId="18" applyAlignment="1" pivotButton="0" quotePrefix="0" xfId="0">
      <alignment vertical="center" wrapText="1"/>
    </xf>
    <xf numFmtId="0" fontId="2" fillId="7" borderId="3" applyAlignment="1" pivotButton="0" quotePrefix="0" xfId="0">
      <alignment vertical="top" wrapText="1"/>
    </xf>
    <xf numFmtId="0" fontId="50" fillId="0" borderId="18" applyAlignment="1" pivotButton="0" quotePrefix="0" xfId="0">
      <alignment vertical="center"/>
    </xf>
    <xf numFmtId="0" fontId="36" fillId="0" borderId="1" applyAlignment="1" pivotButton="0" quotePrefix="0" xfId="0">
      <alignment horizontal="left" vertical="top" wrapText="1"/>
    </xf>
    <xf numFmtId="0" fontId="2" fillId="0" borderId="3" applyAlignment="1" pivotButton="0" quotePrefix="0" xfId="0">
      <alignment horizontal="left" vertical="top" wrapText="1"/>
    </xf>
    <xf numFmtId="0" fontId="23" fillId="7" borderId="3" applyAlignment="1" pivotButton="0" quotePrefix="0" xfId="5">
      <alignment horizontal="center" vertical="center" wrapText="1"/>
    </xf>
    <xf numFmtId="0" fontId="23" fillId="0" borderId="25" applyAlignment="1" pivotButton="0" quotePrefix="0" xfId="5">
      <alignment horizontal="center" vertical="center" wrapText="1"/>
    </xf>
    <xf numFmtId="0" fontId="23" fillId="0" borderId="26" applyAlignment="1" pivotButton="0" quotePrefix="0" xfId="5">
      <alignment horizontal="center" vertical="center" wrapText="1"/>
    </xf>
    <xf numFmtId="0" fontId="2" fillId="0" borderId="26" applyAlignment="1" pivotButton="0" quotePrefix="0" xfId="0">
      <alignment vertical="top" wrapText="1"/>
    </xf>
    <xf numFmtId="0" fontId="26" fillId="0" borderId="1" applyAlignment="1" pivotButton="0" quotePrefix="0" xfId="0">
      <alignment horizontal="center" vertical="center"/>
    </xf>
    <xf numFmtId="0" fontId="51" fillId="0" borderId="1" applyAlignment="1" pivotButton="0" quotePrefix="0" xfId="0">
      <alignment horizontal="center" vertical="center"/>
    </xf>
    <xf numFmtId="0" fontId="23" fillId="0" borderId="11" applyAlignment="1" pivotButton="0" quotePrefix="0" xfId="5">
      <alignment horizontal="center" vertical="center" wrapText="1"/>
    </xf>
    <xf numFmtId="0" fontId="2" fillId="0" borderId="3" applyAlignment="1" pivotButton="0" quotePrefix="1" xfId="0">
      <alignment horizontal="left" vertical="top" wrapText="1"/>
    </xf>
    <xf numFmtId="9" fontId="52" fillId="0" borderId="19" applyAlignment="1" pivotButton="0" quotePrefix="0" xfId="6">
      <alignment horizontal="center" vertical="center"/>
    </xf>
    <xf numFmtId="0" fontId="2" fillId="0" borderId="14" applyAlignment="1" pivotButton="0" quotePrefix="0" xfId="0">
      <alignment horizontal="center" vertical="top" wrapText="1"/>
    </xf>
    <xf numFmtId="0" fontId="2" fillId="0" borderId="8" applyAlignment="1" pivotButton="0" quotePrefix="0" xfId="0">
      <alignment horizontal="center" vertical="top" wrapText="1"/>
    </xf>
    <xf numFmtId="0" fontId="2" fillId="0" borderId="8" applyAlignment="1" pivotButton="0" quotePrefix="0" xfId="0">
      <alignment horizontal="left" vertical="top" wrapText="1"/>
    </xf>
    <xf numFmtId="0" fontId="2" fillId="0" borderId="14" applyAlignment="1" pivotButton="0" quotePrefix="0" xfId="0">
      <alignment horizontal="left" vertical="top" wrapText="1"/>
    </xf>
    <xf numFmtId="0" fontId="2" fillId="0" borderId="27" applyAlignment="1" pivotButton="0" quotePrefix="0" xfId="0">
      <alignment horizontal="center" vertical="top" wrapText="1"/>
    </xf>
    <xf numFmtId="0" fontId="23" fillId="0" borderId="6" applyAlignment="1" pivotButton="0" quotePrefix="0" xfId="5">
      <alignment horizontal="center" vertical="center" wrapText="1"/>
    </xf>
    <xf numFmtId="0" fontId="23" fillId="0" borderId="12" applyAlignment="1" pivotButton="0" quotePrefix="0" xfId="5">
      <alignment horizontal="center" vertical="center" wrapText="1"/>
    </xf>
    <xf numFmtId="0" fontId="23" fillId="0" borderId="28" applyAlignment="1" pivotButton="0" quotePrefix="0" xfId="5">
      <alignment horizontal="center" vertical="center" wrapText="1"/>
    </xf>
    <xf numFmtId="0" fontId="46" fillId="7" borderId="29" applyAlignment="1" pivotButton="0" quotePrefix="0" xfId="1">
      <alignment horizontal="center" vertical="center"/>
    </xf>
    <xf numFmtId="0" fontId="46" fillId="7" borderId="30" applyAlignment="1" pivotButton="0" quotePrefix="0" xfId="1">
      <alignment horizontal="center" vertical="center"/>
    </xf>
    <xf numFmtId="0" fontId="46" fillId="7" borderId="31" applyAlignment="1" pivotButton="0" quotePrefix="0" xfId="1">
      <alignment horizontal="center" vertical="center"/>
    </xf>
    <xf numFmtId="0" fontId="46" fillId="0" borderId="31" applyAlignment="1" pivotButton="0" quotePrefix="0" xfId="5">
      <alignment horizontal="center" vertical="center" wrapText="1"/>
    </xf>
    <xf numFmtId="0" fontId="36" fillId="0" borderId="32" applyAlignment="1" pivotButton="0" quotePrefix="0" xfId="0">
      <alignment horizontal="center" vertical="top"/>
    </xf>
    <xf numFmtId="0" fontId="46" fillId="0" borderId="30" applyAlignment="1" pivotButton="0" quotePrefix="0" xfId="5">
      <alignment horizontal="center" vertical="center" wrapText="1"/>
    </xf>
    <xf numFmtId="0" fontId="36" fillId="0" borderId="29" applyAlignment="1" pivotButton="0" quotePrefix="0" xfId="0">
      <alignment horizontal="center" vertical="top"/>
    </xf>
    <xf numFmtId="0" fontId="46" fillId="0" borderId="29" applyAlignment="1" pivotButton="0" quotePrefix="0" xfId="5">
      <alignment horizontal="center" vertical="center" wrapText="1"/>
    </xf>
    <xf numFmtId="0" fontId="20" fillId="0" borderId="1" applyAlignment="1" pivotButton="0" quotePrefix="0" xfId="0">
      <alignment vertical="center"/>
    </xf>
    <xf numFmtId="0" fontId="26" fillId="0" borderId="18" applyAlignment="1" pivotButton="0" quotePrefix="0" xfId="0">
      <alignment horizontal="center" vertical="center"/>
    </xf>
    <xf numFmtId="0" fontId="26" fillId="0" borderId="7" applyAlignment="1" pivotButton="0" quotePrefix="0" xfId="0">
      <alignment horizontal="center" vertical="center"/>
    </xf>
    <xf numFmtId="0" fontId="10" fillId="0" borderId="28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top" wrapText="1"/>
    </xf>
    <xf numFmtId="0" fontId="43" fillId="0" borderId="5" applyAlignment="1" pivotButton="0" quotePrefix="0" xfId="0">
      <alignment horizontal="left" vertical="top" wrapText="1"/>
    </xf>
    <xf numFmtId="0" fontId="36" fillId="0" borderId="18" applyAlignment="1" pivotButton="0" quotePrefix="0" xfId="0">
      <alignment horizontal="left" vertical="center" wrapText="1"/>
    </xf>
    <xf numFmtId="0" fontId="36" fillId="0" borderId="29" applyAlignment="1" pivotButton="0" quotePrefix="0" xfId="0">
      <alignment horizontal="center" vertical="center"/>
    </xf>
    <xf numFmtId="0" fontId="23" fillId="0" borderId="24" applyAlignment="1" pivotButton="0" quotePrefix="0" xfId="5">
      <alignment horizontal="center" vertical="center" wrapText="1"/>
    </xf>
    <xf numFmtId="0" fontId="46" fillId="0" borderId="26" applyAlignment="1" pivotButton="0" quotePrefix="0" xfId="2">
      <alignment horizontal="center" vertical="center" wrapText="1"/>
    </xf>
    <xf numFmtId="0" fontId="27" fillId="17" borderId="0" applyAlignment="1" pivotButton="0" quotePrefix="0" xfId="0">
      <alignment horizontal="left" vertical="center" wrapText="1"/>
    </xf>
    <xf numFmtId="0" fontId="56" fillId="0" borderId="12" applyAlignment="1" pivotButton="0" quotePrefix="0" xfId="3">
      <alignment horizontal="center" vertical="top" wrapText="1"/>
    </xf>
    <xf numFmtId="0" fontId="26" fillId="0" borderId="0" applyAlignment="1" pivotButton="0" quotePrefix="0" xfId="0">
      <alignment horizontal="left" vertical="center" wrapText="1"/>
    </xf>
    <xf numFmtId="167" fontId="27" fillId="0" borderId="0" applyAlignment="1" pivotButton="0" quotePrefix="0" xfId="0">
      <alignment horizontal="left" vertical="center" wrapText="1"/>
    </xf>
    <xf numFmtId="14" fontId="27" fillId="17" borderId="0" applyAlignment="1" pivotButton="0" quotePrefix="0" xfId="0">
      <alignment horizontal="left" vertical="center" wrapText="1"/>
    </xf>
    <xf numFmtId="0" fontId="28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top" wrapText="1"/>
    </xf>
    <xf numFmtId="0" fontId="28" fillId="0" borderId="18" applyAlignment="1" pivotButton="0" quotePrefix="0" xfId="0">
      <alignment vertical="center" wrapText="1"/>
    </xf>
    <xf numFmtId="0" fontId="0" fillId="0" borderId="18" applyAlignment="1" pivotButton="0" quotePrefix="0" xfId="0">
      <alignment horizontal="left" vertical="top" wrapText="1"/>
    </xf>
    <xf numFmtId="0" fontId="28" fillId="0" borderId="18" applyAlignment="1" pivotButton="0" quotePrefix="0" xfId="0">
      <alignment horizontal="left" vertical="center" wrapText="1"/>
    </xf>
    <xf numFmtId="0" fontId="0" fillId="0" borderId="18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top" wrapText="1"/>
    </xf>
    <xf numFmtId="0" fontId="36" fillId="0" borderId="16" applyAlignment="1" pivotButton="0" quotePrefix="1" xfId="0">
      <alignment horizontal="right" vertical="center"/>
    </xf>
    <xf numFmtId="0" fontId="14" fillId="0" borderId="0" applyAlignment="1" pivotButton="0" quotePrefix="0" xfId="3">
      <alignment horizontal="center" vertical="top" wrapText="1"/>
    </xf>
    <xf numFmtId="0" fontId="28" fillId="0" borderId="0" applyAlignment="1" pivotButton="0" quotePrefix="0" xfId="0">
      <alignment horizontal="left" vertical="center"/>
    </xf>
    <xf numFmtId="0" fontId="34" fillId="0" borderId="3" applyAlignment="1" pivotButton="0" quotePrefix="0" xfId="0">
      <alignment horizontal="left" vertical="center"/>
    </xf>
    <xf numFmtId="0" fontId="0" fillId="7" borderId="44" pivotButton="0" quotePrefix="0" xfId="0"/>
    <xf numFmtId="0" fontId="0" fillId="0" borderId="0" applyAlignment="1" pivotButton="0" quotePrefix="0" xfId="0">
      <alignment horizontal="left" vertical="top"/>
    </xf>
    <xf numFmtId="49" fontId="34" fillId="0" borderId="35" applyAlignment="1" pivotButton="0" quotePrefix="0" xfId="0">
      <alignment vertical="center"/>
    </xf>
    <xf numFmtId="0" fontId="36" fillId="0" borderId="36" pivotButton="0" quotePrefix="0" xfId="0"/>
    <xf numFmtId="14" fontId="34" fillId="0" borderId="3" applyAlignment="1" pivotButton="0" quotePrefix="0" xfId="0">
      <alignment horizontal="left" vertical="center"/>
    </xf>
    <xf numFmtId="0" fontId="16" fillId="7" borderId="4" applyAlignment="1" pivotButton="0" quotePrefix="0" xfId="0">
      <alignment vertical="center"/>
    </xf>
    <xf numFmtId="0" fontId="33" fillId="0" borderId="11" applyAlignment="1" pivotButton="0" quotePrefix="0" xfId="0">
      <alignment vertical="center"/>
    </xf>
    <xf numFmtId="0" fontId="34" fillId="0" borderId="11" applyAlignment="1" pivotButton="0" quotePrefix="0" xfId="0">
      <alignment horizontal="left" vertical="center"/>
    </xf>
    <xf numFmtId="0" fontId="51" fillId="0" borderId="0" applyAlignment="1" pivotButton="0" quotePrefix="0" xfId="0">
      <alignment horizontal="left" vertical="center"/>
    </xf>
    <xf numFmtId="0" fontId="39" fillId="0" borderId="11" applyAlignment="1" pivotButton="0" quotePrefix="0" xfId="0">
      <alignment vertical="center"/>
    </xf>
    <xf numFmtId="0" fontId="16" fillId="0" borderId="46" applyAlignment="1" pivotButton="0" quotePrefix="0" xfId="0">
      <alignment vertical="center"/>
    </xf>
    <xf numFmtId="0" fontId="58" fillId="8" borderId="4" applyAlignment="1" pivotButton="0" quotePrefix="0" xfId="0">
      <alignment horizontal="center" vertical="center" wrapText="1"/>
    </xf>
    <xf numFmtId="0" fontId="58" fillId="8" borderId="3" applyAlignment="1" pivotButton="0" quotePrefix="0" xfId="0">
      <alignment horizontal="center" vertical="center" wrapText="1"/>
    </xf>
    <xf numFmtId="0" fontId="30" fillId="0" borderId="47" applyAlignment="1" pivotButton="0" quotePrefix="0" xfId="0">
      <alignment horizontal="center" vertical="center" wrapText="1"/>
    </xf>
    <xf numFmtId="0" fontId="30" fillId="0" borderId="47" applyAlignment="1" pivotButton="0" quotePrefix="0" xfId="0">
      <alignment horizontal="center" vertical="center"/>
    </xf>
    <xf numFmtId="0" fontId="30" fillId="0" borderId="35" applyAlignment="1" pivotButton="0" quotePrefix="0" xfId="0">
      <alignment vertical="center" wrapText="1"/>
    </xf>
    <xf numFmtId="0" fontId="30" fillId="0" borderId="5" applyAlignment="1" pivotButton="0" quotePrefix="0" xfId="0">
      <alignment horizontal="center" vertical="center"/>
    </xf>
    <xf numFmtId="0" fontId="29" fillId="0" borderId="8" applyAlignment="1" pivotButton="0" quotePrefix="0" xfId="0">
      <alignment horizontal="center" vertical="center" wrapText="1"/>
    </xf>
    <xf numFmtId="0" fontId="30" fillId="0" borderId="3" applyAlignment="1" pivotButton="0" quotePrefix="0" xfId="0">
      <alignment vertical="center"/>
    </xf>
    <xf numFmtId="0" fontId="30" fillId="0" borderId="3" applyAlignment="1" pivotButton="0" quotePrefix="0" xfId="0">
      <alignment horizontal="center" vertical="center"/>
    </xf>
    <xf numFmtId="0" fontId="30" fillId="0" borderId="3" applyAlignment="1" pivotButton="0" quotePrefix="0" xfId="0">
      <alignment vertical="center" wrapText="1"/>
    </xf>
    <xf numFmtId="0" fontId="30" fillId="0" borderId="8" applyAlignment="1" pivotButton="0" quotePrefix="0" xfId="0">
      <alignment horizontal="center" vertical="center" wrapText="1" shrinkToFit="1"/>
    </xf>
    <xf numFmtId="0" fontId="30" fillId="0" borderId="2" applyAlignment="1" pivotButton="0" quotePrefix="0" xfId="0">
      <alignment horizontal="center" vertical="center" wrapText="1" shrinkToFit="1"/>
    </xf>
    <xf numFmtId="0" fontId="30" fillId="0" borderId="12" applyAlignment="1" pivotButton="0" quotePrefix="0" xfId="0">
      <alignment horizontal="center" vertical="center" wrapText="1" shrinkToFit="1"/>
    </xf>
    <xf numFmtId="0" fontId="30" fillId="0" borderId="8" applyAlignment="1" pivotButton="0" quotePrefix="0" xfId="0">
      <alignment horizontal="left" vertical="center" wrapText="1" shrinkToFit="1"/>
    </xf>
    <xf numFmtId="0" fontId="30" fillId="0" borderId="2" applyAlignment="1" pivotButton="0" quotePrefix="0" xfId="0">
      <alignment horizontal="left" vertical="center" wrapText="1" shrinkToFit="1"/>
    </xf>
    <xf numFmtId="0" fontId="30" fillId="0" borderId="12" applyAlignment="1" pivotButton="0" quotePrefix="0" xfId="0">
      <alignment horizontal="left" vertical="center" wrapText="1" shrinkToFit="1"/>
    </xf>
    <xf numFmtId="0" fontId="47" fillId="7" borderId="3" applyAlignment="1" pivotButton="0" quotePrefix="0" xfId="0">
      <alignment horizontal="right" vertical="center"/>
    </xf>
    <xf numFmtId="0" fontId="33" fillId="7" borderId="45" applyAlignment="1" pivotButton="0" quotePrefix="0" xfId="0">
      <alignment vertical="center"/>
    </xf>
    <xf numFmtId="0" fontId="58" fillId="8" borderId="14" applyAlignment="1" pivotButton="0" quotePrefix="0" xfId="0">
      <alignment horizontal="center" vertical="center" wrapText="1"/>
    </xf>
    <xf numFmtId="0" fontId="58" fillId="8" borderId="11" applyAlignment="1" pivotButton="0" quotePrefix="0" xfId="0">
      <alignment horizontal="center" vertical="center" wrapText="1"/>
    </xf>
    <xf numFmtId="0" fontId="58" fillId="8" borderId="6" applyAlignment="1" pivotButton="0" quotePrefix="0" xfId="0">
      <alignment horizontal="center" vertical="center" wrapText="1"/>
    </xf>
    <xf numFmtId="0" fontId="39" fillId="7" borderId="11" applyAlignment="1" pivotButton="0" quotePrefix="0" xfId="0">
      <alignment horizontal="left" vertical="top" wrapText="1"/>
    </xf>
    <xf numFmtId="0" fontId="16" fillId="13" borderId="9" applyAlignment="1" pivotButton="0" quotePrefix="0" xfId="0">
      <alignment horizontal="left"/>
    </xf>
    <xf numFmtId="0" fontId="39" fillId="7" borderId="11" applyAlignment="1" pivotButton="0" quotePrefix="0" xfId="0">
      <alignment horizontal="center" vertical="top" wrapText="1"/>
    </xf>
    <xf numFmtId="0" fontId="34" fillId="0" borderId="0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left" vertical="top" wrapText="1"/>
    </xf>
    <xf numFmtId="0" fontId="1" fillId="0" borderId="12" applyAlignment="1" pivotButton="0" quotePrefix="0" xfId="0">
      <alignment horizontal="left" vertical="top" wrapText="1"/>
    </xf>
    <xf numFmtId="0" fontId="28" fillId="0" borderId="18" applyAlignment="1" pivotButton="0" quotePrefix="0" xfId="0">
      <alignment horizontal="left" vertical="center" wrapText="1"/>
    </xf>
    <xf numFmtId="0" fontId="47" fillId="0" borderId="18" applyAlignment="1" pivotButton="0" quotePrefix="0" xfId="0">
      <alignment horizontal="left" vertical="center" wrapText="1"/>
    </xf>
    <xf numFmtId="0" fontId="53" fillId="0" borderId="18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top" wrapText="1"/>
    </xf>
    <xf numFmtId="0" fontId="5" fillId="0" borderId="2" applyAlignment="1" pivotButton="0" quotePrefix="0" xfId="0">
      <alignment horizontal="left" vertical="top" wrapText="1"/>
    </xf>
    <xf numFmtId="0" fontId="1" fillId="0" borderId="2" applyAlignment="1" pivotButton="0" quotePrefix="1" xfId="0">
      <alignment horizontal="left" vertical="top" wrapText="1"/>
    </xf>
    <xf numFmtId="0" fontId="1" fillId="0" borderId="2" applyAlignment="1" pivotButton="0" quotePrefix="0" xfId="0">
      <alignment horizontal="left" vertical="center" wrapText="1"/>
    </xf>
    <xf numFmtId="0" fontId="1" fillId="0" borderId="12" applyAlignment="1" pivotButton="0" quotePrefix="0" xfId="0">
      <alignment horizontal="left" vertical="center" wrapText="1"/>
    </xf>
    <xf numFmtId="0" fontId="19" fillId="8" borderId="33" applyAlignment="1" pivotButton="0" quotePrefix="0" xfId="0">
      <alignment horizontal="left" vertical="center" wrapText="1"/>
    </xf>
    <xf numFmtId="0" fontId="19" fillId="8" borderId="34" applyAlignment="1" pivotButton="0" quotePrefix="0" xfId="0">
      <alignment horizontal="left" vertical="center" wrapText="1"/>
    </xf>
    <xf numFmtId="0" fontId="1" fillId="0" borderId="35" applyAlignment="1" pivotButton="0" quotePrefix="0" xfId="0">
      <alignment horizontal="left" vertical="top" wrapText="1"/>
    </xf>
    <xf numFmtId="0" fontId="1" fillId="0" borderId="36" applyAlignment="1" pivotButton="0" quotePrefix="0" xfId="0">
      <alignment horizontal="left" vertical="top" wrapText="1"/>
    </xf>
    <xf numFmtId="0" fontId="1" fillId="0" borderId="11" applyAlignment="1" pivotButton="0" quotePrefix="0" xfId="0">
      <alignment horizontal="left" vertical="top" wrapText="1"/>
    </xf>
    <xf numFmtId="0" fontId="1" fillId="0" borderId="6" applyAlignment="1" pivotButton="0" quotePrefix="0" xfId="0">
      <alignment horizontal="left" vertical="top" wrapText="1"/>
    </xf>
    <xf numFmtId="0" fontId="4" fillId="0" borderId="12" applyAlignment="1" pivotButton="0" quotePrefix="0" xfId="0">
      <alignment horizontal="left" vertical="top" wrapText="1"/>
    </xf>
    <xf numFmtId="0" fontId="47" fillId="18" borderId="18" applyAlignment="1" pivotButton="0" quotePrefix="0" xfId="0">
      <alignment horizontal="center" vertical="center" wrapText="1"/>
    </xf>
    <xf numFmtId="0" fontId="47" fillId="0" borderId="18" applyAlignment="1" pivotButton="0" quotePrefix="0" xfId="0">
      <alignment horizontal="center" vertical="center" wrapText="1"/>
    </xf>
    <xf numFmtId="0" fontId="47" fillId="0" borderId="18" applyAlignment="1" pivotButton="0" quotePrefix="0" xfId="0">
      <alignment horizontal="left" vertical="center"/>
    </xf>
    <xf numFmtId="0" fontId="54" fillId="7" borderId="21" applyAlignment="1" pivotButton="0" quotePrefix="0" xfId="0">
      <alignment horizontal="left" vertical="center" wrapText="1"/>
    </xf>
    <xf numFmtId="0" fontId="55" fillId="0" borderId="1" applyAlignment="1" pivotButton="0" quotePrefix="0" xfId="0">
      <alignment horizontal="center" vertical="center" wrapText="1"/>
    </xf>
    <xf numFmtId="0" fontId="28" fillId="0" borderId="0" applyAlignment="1" pivotButton="0" quotePrefix="0" xfId="0">
      <alignment horizontal="center" vertical="center" wrapText="1"/>
    </xf>
    <xf numFmtId="14" fontId="2" fillId="0" borderId="5" applyAlignment="1" pivotButton="0" quotePrefix="0" xfId="0">
      <alignment vertical="top" wrapText="1"/>
    </xf>
    <xf numFmtId="14" fontId="2" fillId="0" borderId="3" applyAlignment="1" pivotButton="0" quotePrefix="0" xfId="0">
      <alignment vertical="top" wrapText="1"/>
    </xf>
    <xf numFmtId="0" fontId="63" fillId="0" borderId="0" applyAlignment="1" pivotButton="0" quotePrefix="0" xfId="0">
      <alignment horizontal="center" vertical="top"/>
    </xf>
    <xf numFmtId="0" fontId="63" fillId="0" borderId="0" applyAlignment="1" pivotButton="0" quotePrefix="0" xfId="0">
      <alignment horizontal="right" vertical="top"/>
    </xf>
    <xf numFmtId="0" fontId="30" fillId="0" borderId="3" applyAlignment="1" pivotButton="0" quotePrefix="0" xfId="0">
      <alignment vertical="top"/>
    </xf>
    <xf numFmtId="0" fontId="30" fillId="0" borderId="3" applyAlignment="1" pivotButton="0" quotePrefix="0" xfId="0">
      <alignment vertical="top" wrapText="1"/>
    </xf>
    <xf numFmtId="0" fontId="1" fillId="0" borderId="2" applyAlignment="1" pivotButton="0" quotePrefix="0" xfId="0">
      <alignment vertical="top" wrapText="1"/>
    </xf>
    <xf numFmtId="0" fontId="1" fillId="0" borderId="12" applyAlignment="1" pivotButton="0" quotePrefix="0" xfId="0">
      <alignment vertical="top" wrapText="1"/>
    </xf>
    <xf numFmtId="167" fontId="21" fillId="0" borderId="1" applyAlignment="1" pivotButton="0" quotePrefix="0" xfId="0">
      <alignment horizontal="left" vertical="center"/>
    </xf>
    <xf numFmtId="165" fontId="32" fillId="0" borderId="19" applyAlignment="1" pivotButton="0" quotePrefix="0" xfId="6">
      <alignment horizontal="center" vertical="center"/>
    </xf>
    <xf numFmtId="0" fontId="0" fillId="0" borderId="9" pivotButton="0" quotePrefix="0" xfId="0"/>
    <xf numFmtId="0" fontId="0" fillId="0" borderId="11" pivotButton="0" quotePrefix="0" xfId="0"/>
    <xf numFmtId="166" fontId="39" fillId="7" borderId="11" applyAlignment="1" pivotButton="0" quotePrefix="0" xfId="0">
      <alignment horizontal="left" vertical="top" wrapText="1"/>
    </xf>
    <xf numFmtId="167" fontId="27" fillId="0" borderId="0" applyAlignment="1" pivotButton="0" quotePrefix="0" xfId="0">
      <alignment horizontal="left" vertical="center" wrapText="1"/>
    </xf>
    <xf numFmtId="167" fontId="45" fillId="0" borderId="0" applyAlignment="1" pivotButton="0" quotePrefix="0" xfId="0">
      <alignment horizontal="center" vertical="center"/>
    </xf>
    <xf numFmtId="165" fontId="22" fillId="0" borderId="0" applyAlignment="1" pivotButton="0" quotePrefix="0" xfId="1">
      <alignment horizontal="left" vertical="center"/>
    </xf>
    <xf numFmtId="165" fontId="20" fillId="0" borderId="0" applyAlignment="1" pivotButton="0" quotePrefix="0" xfId="0">
      <alignment horizontal="left" vertical="center"/>
    </xf>
    <xf numFmtId="0" fontId="19" fillId="8" borderId="48" applyAlignment="1" pivotButton="0" quotePrefix="0" xfId="0">
      <alignment horizontal="left" vertical="center" wrapText="1"/>
    </xf>
    <xf numFmtId="0" fontId="0" fillId="0" borderId="34" pivotButton="0" quotePrefix="0" xfId="0"/>
  </cellXfs>
  <cellStyles count="7">
    <cellStyle name="Normal" xfId="0" builtinId="0"/>
    <cellStyle name="Correto" xfId="1" builtinId="26"/>
    <cellStyle name="Entrada" xfId="2" builtinId="20"/>
    <cellStyle name="Hiperligação" xfId="3" builtinId="8"/>
    <cellStyle name="Incorreto" xfId="4" builtinId="27"/>
    <cellStyle name="Nota" xfId="5" builtinId="10"/>
    <cellStyle name="Percentagem" xfId="6" builtinId="5"/>
  </cellStyles>
  <dxfs count="6">
    <dxf>
      <fill>
        <patternFill>
          <bgColor rgb="FF92D050"/>
        </patternFill>
      </fill>
    </dxf>
    <dxf>
      <fill>
        <patternFill>
          <bgColor theme="3" tint="0.5999633777886288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249946592608417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drawing1.xml><?xml version="1.0" encoding="utf-8"?>
<wsDr xmlns="http://schemas.openxmlformats.org/drawingml/2006/spreadsheetDrawing">
  <twoCellAnchor>
    <from>
      <col>8</col>
      <colOff>257175</colOff>
      <row>0</row>
      <rowOff>133350</rowOff>
    </from>
    <to>
      <col>9</col>
      <colOff>523875</colOff>
      <row>2</row>
      <rowOff>333375</rowOff>
    </to>
    <pic>
      <nvPicPr>
        <cNvPr id="48475" name="LOGO" descr="LEONI-Logo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7086600" y="133350"/>
          <a:ext cx="876300" cy="5905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>
    <from>
      <col>17</col>
      <colOff>66675</colOff>
      <row>0</row>
      <rowOff>95250</rowOff>
    </from>
    <to>
      <col>17</col>
      <colOff>1514475</colOff>
      <row>1</row>
      <rowOff>152400</rowOff>
    </to>
    <pic>
      <nvPicPr>
        <cNvPr id="52526" name="LOGO" descr="LEONI-Logo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0633650" y="95250"/>
          <a:ext cx="1447800" cy="5048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J49"/>
  <sheetViews>
    <sheetView showGridLines="0" tabSelected="1" zoomScaleNormal="100" zoomScalePageLayoutView="85" workbookViewId="0">
      <selection activeCell="O8" sqref="O8"/>
    </sheetView>
  </sheetViews>
  <sheetFormatPr baseColWidth="8" defaultRowHeight="15"/>
  <cols>
    <col width="3.5703125" customWidth="1" min="1" max="1"/>
    <col width="15.28515625" customWidth="1" min="2" max="2"/>
    <col width="0.85546875" customWidth="1" min="3" max="3"/>
    <col width="11.85546875" customWidth="1" min="4" max="4"/>
    <col width="41.85546875" customWidth="1" min="5" max="5"/>
    <col width="17.42578125" customWidth="1" min="6" max="6"/>
    <col width="0.5703125" customWidth="1" min="7" max="7"/>
    <col width="11" customWidth="1" style="82" min="8" max="8"/>
  </cols>
  <sheetData>
    <row r="2" ht="15.75" customHeight="1">
      <c r="B2" s="56">
        <f>Verification!E1</f>
        <v/>
      </c>
      <c r="C2" s="57" t="n"/>
      <c r="D2" s="57" t="n"/>
      <c r="E2" s="58">
        <f>Verification!F1</f>
        <v/>
      </c>
    </row>
    <row r="3" ht="30.75" customHeight="1">
      <c r="B3" s="56">
        <f>Verification!E2</f>
        <v/>
      </c>
      <c r="C3" s="57" t="n"/>
      <c r="D3" s="57" t="n"/>
      <c r="E3" s="257">
        <f>Verification!F2</f>
        <v/>
      </c>
    </row>
    <row r="4" ht="19.5" customHeight="1">
      <c r="B4" s="60">
        <f>Verification!E3</f>
        <v/>
      </c>
      <c r="C4" s="87" t="n"/>
      <c r="D4" s="87" t="n"/>
      <c r="E4" s="289">
        <f>Verification!F3</f>
        <v/>
      </c>
      <c r="F4" s="9" t="n"/>
      <c r="G4" s="9" t="n"/>
      <c r="H4" s="89" t="n"/>
      <c r="I4" s="9" t="n"/>
      <c r="J4" s="9" t="n"/>
    </row>
    <row r="6" ht="27.75" customHeight="1">
      <c r="B6" s="80" t="inlineStr">
        <is>
          <t>Conformance fulfillment</t>
        </is>
      </c>
      <c r="C6" s="81" t="n"/>
      <c r="D6" s="179">
        <f>(D10+D12+D16+D20)/D8</f>
        <v/>
      </c>
    </row>
    <row r="7" ht="8.25" customHeight="1"/>
    <row r="8" ht="24.75" customHeight="1">
      <c r="B8" s="67" t="inlineStr">
        <is>
          <t>Nb of analysed points</t>
        </is>
      </c>
      <c r="D8" s="59">
        <f>COUNTA(Verification!R5:R365)</f>
        <v/>
      </c>
      <c r="F8" s="123" t="inlineStr">
        <is>
          <t>Actions fulfillment</t>
        </is>
      </c>
      <c r="H8" s="290">
        <f>H12/H10</f>
        <v/>
      </c>
    </row>
    <row r="9" ht="3.75" customHeight="1">
      <c r="B9" s="55" t="n"/>
      <c r="D9" s="54" t="n"/>
    </row>
    <row r="10" ht="21.75" customFormat="1" customHeight="1" s="52">
      <c r="B10" s="51" t="inlineStr">
        <is>
          <t>Complies</t>
        </is>
      </c>
      <c r="D10" s="59">
        <f>COUNTIF(Verification!$R$5:$R$365,RESUMO!B10)</f>
        <v/>
      </c>
      <c r="F10" s="85" t="inlineStr">
        <is>
          <t>TOTAL OF ACTIONS</t>
        </is>
      </c>
      <c r="H10" s="59">
        <f>COUNTA(D25:E49)</f>
        <v/>
      </c>
    </row>
    <row r="11" ht="3.75" customHeight="1">
      <c r="B11" s="55" t="n"/>
      <c r="D11" s="54" t="n"/>
      <c r="F11" s="124" t="n"/>
    </row>
    <row r="12" ht="21.75" customFormat="1" customHeight="1" s="52">
      <c r="B12" s="51" t="inlineStr">
        <is>
          <t>Agreed</t>
        </is>
      </c>
      <c r="D12" s="59">
        <f>COUNTIF(Verification!$R$5:$R$365,RESUMO!B12)</f>
        <v/>
      </c>
      <c r="F12" s="85" t="inlineStr">
        <is>
          <t>CLOSED</t>
        </is>
      </c>
      <c r="H12" s="59">
        <f>COUNTIF(Verification!$N$5:$N$578,RESUMO!F12)</f>
        <v/>
      </c>
    </row>
    <row r="13" ht="3.75" customHeight="1">
      <c r="B13" s="55" t="n"/>
      <c r="D13" s="54" t="n"/>
      <c r="F13" s="125" t="n"/>
      <c r="H13" s="84" t="n"/>
    </row>
    <row r="14" ht="21.75" customFormat="1" customHeight="1" s="52">
      <c r="B14" s="53" t="inlineStr">
        <is>
          <t>Do not comply</t>
        </is>
      </c>
      <c r="D14" s="59">
        <f>COUNTIF(Verification!$R$5:$R$365,RESUMO!B14)</f>
        <v/>
      </c>
      <c r="F14" s="85" t="inlineStr">
        <is>
          <t>TO BE DETERMINED</t>
        </is>
      </c>
      <c r="H14" s="59">
        <f>COUNTIF(Verification!$N$5:$N$578,RESUMO!F14)</f>
        <v/>
      </c>
    </row>
    <row r="15" ht="3.75" customHeight="1">
      <c r="B15" s="55" t="n"/>
      <c r="D15" s="54" t="n"/>
      <c r="F15" s="125" t="n"/>
      <c r="H15" s="84" t="n"/>
    </row>
    <row r="16" ht="21.75" customFormat="1" customHeight="1" s="52">
      <c r="B16" s="53" t="inlineStr">
        <is>
          <t>Not assessed</t>
        </is>
      </c>
      <c r="D16" s="59">
        <f>COUNTIF(Verification!$R$5:$R$365,RESUMO!B16)</f>
        <v/>
      </c>
      <c r="F16" s="85" t="inlineStr">
        <is>
          <t>IN PROGRESS</t>
        </is>
      </c>
      <c r="H16" s="59">
        <f>COUNTIF(Verification!$N$5:$N$578,RESUMO!F16)</f>
        <v/>
      </c>
    </row>
    <row r="17" ht="3.75" customHeight="1">
      <c r="B17" s="55" t="n"/>
      <c r="D17" s="54" t="n"/>
      <c r="F17" s="125" t="n"/>
      <c r="H17" s="84" t="n"/>
    </row>
    <row r="18" ht="21.75" customFormat="1" customHeight="1" s="52">
      <c r="B18" s="53" t="inlineStr">
        <is>
          <t>Action required</t>
        </is>
      </c>
      <c r="D18" s="59">
        <f>COUNTIF(Verification!$R$5:$R$365,RESUMO!B18)</f>
        <v/>
      </c>
      <c r="F18" s="85" t="inlineStr">
        <is>
          <t>OVERDUE</t>
        </is>
      </c>
      <c r="H18" s="59">
        <f>COUNTIF(Verification!$N$5:$N$578,RESUMO!F18)</f>
        <v/>
      </c>
    </row>
    <row r="19" ht="3.75" customHeight="1">
      <c r="B19" s="55" t="n"/>
      <c r="D19" s="54" t="n"/>
    </row>
    <row r="20" ht="21.75" customFormat="1" customHeight="1" s="52">
      <c r="B20" s="53" t="inlineStr">
        <is>
          <t>Not applicable</t>
        </is>
      </c>
      <c r="D20" s="59">
        <f>COUNTIF(Verification!$R$5:$R$365,RESUMO!B20)</f>
        <v/>
      </c>
      <c r="H20" s="83" t="n"/>
    </row>
    <row r="21" ht="6.75" customHeight="1">
      <c r="B21" s="55" t="n"/>
    </row>
    <row r="23" ht="15.75" customHeight="1">
      <c r="A23" s="9" t="n"/>
      <c r="B23" s="60" t="inlineStr">
        <is>
          <t>PLANO DE AÇÕES</t>
        </is>
      </c>
      <c r="C23" s="9" t="n"/>
      <c r="D23" s="9" t="n"/>
      <c r="E23" s="9" t="n"/>
      <c r="F23" s="9" t="n"/>
    </row>
    <row r="24" ht="16.5" customHeight="1">
      <c r="A24" s="72" t="inlineStr">
        <is>
          <t>Nb</t>
        </is>
      </c>
      <c r="B24" s="73" t="inlineStr">
        <is>
          <t>SECTION</t>
        </is>
      </c>
      <c r="C24" s="73" t="n"/>
      <c r="D24" s="255" t="inlineStr">
        <is>
          <t>ACTION</t>
        </is>
      </c>
      <c r="E24" s="291" t="n"/>
      <c r="F24" s="73" t="inlineStr">
        <is>
          <t>RESPONSIBLE</t>
        </is>
      </c>
      <c r="H24" s="255" t="inlineStr">
        <is>
          <t>DEADLINE</t>
        </is>
      </c>
      <c r="I24" s="255" t="inlineStr">
        <is>
          <t>ACTION STATUS</t>
        </is>
      </c>
      <c r="J24" s="291" t="n"/>
    </row>
    <row r="25" ht="28.5" customHeight="1">
      <c r="A25" s="68" t="n">
        <v>1</v>
      </c>
      <c r="B25" s="256">
        <f>IF(ISERROR(VLOOKUP(A25,Verification!B6:D578,3,FALSE)),"",(VLOOKUP(A25,Verification!B6:D578,3,FALSE)))</f>
        <v/>
      </c>
      <c r="C25" s="292" t="n"/>
      <c r="D25" s="254">
        <f>IF(ISERROR(VLOOKUP(A25,Verification!$B$6:$K$578,10,FALSE)),"",(VLOOKUP(A25,Verification!$B$6:$K$578,10,FALSE)))</f>
        <v/>
      </c>
      <c r="E25" s="292" t="n"/>
      <c r="F25" s="254">
        <f>IF(ISERROR(VLOOKUP(A25,Verification!$B$6:$L$578,11,FALSE)),"",(VLOOKUP(A25,Verification!$B$6:$L$578,11,FALSE)))</f>
        <v/>
      </c>
      <c r="H25" s="293">
        <f>IF(ISERROR(VLOOKUP(A25,Verification!$B$6:$M$578,12,FALSE)),"",(VLOOKUP(A25,Verification!$B$6:$M$578,12,FALSE)))</f>
        <v/>
      </c>
      <c r="I25" s="254">
        <f>IF(ISERROR(VLOOKUP(A25,Verification!$B$6:$N$578,13,FALSE)),"",(VLOOKUP(A25,Verification!$B$6:$N$578,13,FALSE)))</f>
        <v/>
      </c>
      <c r="J25" s="292" t="n"/>
    </row>
    <row r="26" ht="28.5" customHeight="1">
      <c r="A26" s="68" t="n">
        <v>2</v>
      </c>
      <c r="B26" s="256">
        <f>IF(ISERROR(VLOOKUP(A26,Verification!B7:D579,3,FALSE)),"",(VLOOKUP(A26,Verification!B7:D579,3,FALSE)))</f>
        <v/>
      </c>
      <c r="C26" s="292" t="n"/>
      <c r="D26" s="254">
        <f>IF(ISERROR(VLOOKUP(A26,Verification!$B$6:$K$578,10,FALSE)),"",(VLOOKUP(A26,Verification!$B$6:$K$578,10,FALSE)))</f>
        <v/>
      </c>
      <c r="E26" s="292" t="n"/>
      <c r="F26" s="254">
        <f>IF(ISERROR(VLOOKUP(A26,Verification!$B$6:$L$578,11,FALSE)),"",(VLOOKUP(A26,Verification!$B$6:$L$578,11,FALSE)))</f>
        <v/>
      </c>
      <c r="H26" s="293">
        <f>IF(ISERROR(VLOOKUP(A26,Verification!$B$6:$M$578,12,FALSE)),"",(VLOOKUP(A26,Verification!$B$6:$M$578,12,FALSE)))</f>
        <v/>
      </c>
      <c r="I26" s="254">
        <f>IF(ISERROR(VLOOKUP(A26,Verification!$B$6:$N$578,13,FALSE)),"",(VLOOKUP(A26,Verification!$B$6:$N$578,13,FALSE)))</f>
        <v/>
      </c>
      <c r="J26" s="292" t="n"/>
    </row>
    <row r="27" ht="28.5" customHeight="1">
      <c r="A27" s="68" t="n">
        <v>3</v>
      </c>
      <c r="B27" s="256">
        <f>IF(ISERROR(VLOOKUP(A27,Verification!B8:D580,3,FALSE)),"",(VLOOKUP(A27,Verification!B8:D580,3,FALSE)))</f>
        <v/>
      </c>
      <c r="C27" s="292" t="n"/>
      <c r="D27" s="254">
        <f>IF(ISERROR(VLOOKUP(A27,Verification!$B$6:$K$578,10,FALSE)),"",(VLOOKUP(A27,Verification!$B$6:$K$578,10,FALSE)))</f>
        <v/>
      </c>
      <c r="E27" s="292" t="n"/>
      <c r="F27" s="254">
        <f>IF(ISERROR(VLOOKUP(A27,Verification!$B$6:$L$578,11,FALSE)),"",(VLOOKUP(A27,Verification!$B$6:$L$578,11,FALSE)))</f>
        <v/>
      </c>
      <c r="H27" s="293">
        <f>IF(ISERROR(VLOOKUP(A27,Verification!$B$6:$M$578,12,FALSE)),"",(VLOOKUP(A27,Verification!$B$6:$M$578,12,FALSE)))</f>
        <v/>
      </c>
      <c r="I27" s="254">
        <f>IF(ISERROR(VLOOKUP(A27,Verification!$B$6:$N$578,13,FALSE)),"",(VLOOKUP(A27,Verification!$B$6:$N$578,13,FALSE)))</f>
        <v/>
      </c>
      <c r="J27" s="292" t="n"/>
    </row>
    <row r="28" ht="28.5" customHeight="1">
      <c r="A28" s="68" t="n">
        <v>4</v>
      </c>
      <c r="B28" s="256">
        <f>IF(ISERROR(VLOOKUP(A28,Verification!B9:D581,3,FALSE)),"",(VLOOKUP(A28,Verification!B9:D581,3,FALSE)))</f>
        <v/>
      </c>
      <c r="C28" s="292" t="n"/>
      <c r="D28" s="254">
        <f>IF(ISERROR(VLOOKUP(A28,Verification!$B$6:$K$578,10,FALSE)),"",(VLOOKUP(A28,Verification!$B$6:$K$578,10,FALSE)))</f>
        <v/>
      </c>
      <c r="E28" s="292" t="n"/>
      <c r="F28" s="254">
        <f>IF(ISERROR(VLOOKUP(A28,Verification!$B$6:$L$578,11,FALSE)),"",(VLOOKUP(A28,Verification!$B$6:$L$578,11,FALSE)))</f>
        <v/>
      </c>
      <c r="H28" s="293">
        <f>IF(ISERROR(VLOOKUP(A28,Verification!$B$6:$M$578,12,FALSE)),"",(VLOOKUP(A28,Verification!$B$6:$M$578,12,FALSE)))</f>
        <v/>
      </c>
      <c r="I28" s="254">
        <f>IF(ISERROR(VLOOKUP(A28,Verification!$B$6:$N$578,13,FALSE)),"",(VLOOKUP(A28,Verification!$B$6:$N$578,13,FALSE)))</f>
        <v/>
      </c>
      <c r="J28" s="292" t="n"/>
    </row>
    <row r="29" ht="28.5" customHeight="1">
      <c r="A29" s="68" t="n">
        <v>5</v>
      </c>
      <c r="B29" s="256">
        <f>IF(ISERROR(VLOOKUP(A29,Verification!B10:D582,3,FALSE)),"",(VLOOKUP(A29,Verification!B10:D582,3,FALSE)))</f>
        <v/>
      </c>
      <c r="C29" s="292" t="n"/>
      <c r="D29" s="254">
        <f>IF(ISERROR(VLOOKUP(A29,Verification!$B$6:$K$578,10,FALSE)),"",(VLOOKUP(A29,Verification!$B$6:$K$578,10,FALSE)))</f>
        <v/>
      </c>
      <c r="E29" s="292" t="n"/>
      <c r="F29" s="254">
        <f>IF(ISERROR(VLOOKUP(A29,Verification!$B$6:$L$578,11,FALSE)),"",(VLOOKUP(A29,Verification!$B$6:$L$578,11,FALSE)))</f>
        <v/>
      </c>
      <c r="H29" s="293">
        <f>IF(ISERROR(VLOOKUP(A29,Verification!$B$6:$M$578,12,FALSE)),"",(VLOOKUP(A29,Verification!$B$6:$M$578,12,FALSE)))</f>
        <v/>
      </c>
      <c r="I29" s="254">
        <f>IF(ISERROR(VLOOKUP(A29,Verification!$B$6:$N$578,13,FALSE)),"",(VLOOKUP(A29,Verification!$B$6:$N$578,13,FALSE)))</f>
        <v/>
      </c>
      <c r="J29" s="292" t="n"/>
    </row>
    <row r="30" ht="28.5" customHeight="1">
      <c r="A30" s="68" t="n">
        <v>6</v>
      </c>
      <c r="B30" s="256">
        <f>IF(ISERROR(VLOOKUP(A30,Verification!B11:D583,3,FALSE)),"",(VLOOKUP(A30,Verification!B11:D583,3,FALSE)))</f>
        <v/>
      </c>
      <c r="C30" s="292" t="n"/>
      <c r="D30" s="254">
        <f>IF(ISERROR(VLOOKUP(A30,Verification!$B$6:$K$578,10,FALSE)),"",(VLOOKUP(A30,Verification!$B$6:$K$578,10,FALSE)))</f>
        <v/>
      </c>
      <c r="E30" s="292" t="n"/>
      <c r="F30" s="254">
        <f>IF(ISERROR(VLOOKUP(A30,Verification!$B$6:$L$578,11,FALSE)),"",(VLOOKUP(A30,Verification!$B$6:$L$578,11,FALSE)))</f>
        <v/>
      </c>
      <c r="H30" s="293">
        <f>IF(ISERROR(VLOOKUP(A30,Verification!$B$6:$M$578,12,FALSE)),"",(VLOOKUP(A30,Verification!$B$6:$M$578,12,FALSE)))</f>
        <v/>
      </c>
      <c r="I30" s="254">
        <f>IF(ISERROR(VLOOKUP(A30,Verification!$B$6:$N$578,13,FALSE)),"",(VLOOKUP(A30,Verification!$B$6:$N$578,13,FALSE)))</f>
        <v/>
      </c>
      <c r="J30" s="292" t="n"/>
    </row>
    <row r="31" ht="28.5" customHeight="1">
      <c r="A31" s="68" t="n">
        <v>7</v>
      </c>
      <c r="B31" s="256">
        <f>IF(ISERROR(VLOOKUP(A31,Verification!B12:D584,3,FALSE)),"",(VLOOKUP(A31,Verification!B12:D584,3,FALSE)))</f>
        <v/>
      </c>
      <c r="C31" s="292" t="n"/>
      <c r="D31" s="254">
        <f>IF(ISERROR(VLOOKUP(A31,Verification!$B$6:$K$578,10,FALSE)),"",(VLOOKUP(A31,Verification!$B$6:$K$578,10,FALSE)))</f>
        <v/>
      </c>
      <c r="E31" s="292" t="n"/>
      <c r="F31" s="254">
        <f>IF(ISERROR(VLOOKUP(A31,Verification!$B$6:$L$578,11,FALSE)),"",(VLOOKUP(A31,Verification!$B$6:$L$578,11,FALSE)))</f>
        <v/>
      </c>
      <c r="H31" s="293">
        <f>IF(ISERROR(VLOOKUP(A31,Verification!$B$6:$M$578,12,FALSE)),"",(VLOOKUP(A31,Verification!$B$6:$M$578,12,FALSE)))</f>
        <v/>
      </c>
      <c r="I31" s="254">
        <f>IF(ISERROR(VLOOKUP(A31,Verification!$B$6:$N$578,13,FALSE)),"",(VLOOKUP(A31,Verification!$B$6:$N$578,13,FALSE)))</f>
        <v/>
      </c>
      <c r="J31" s="292" t="n"/>
    </row>
    <row r="32" ht="28.5" customHeight="1">
      <c r="A32" s="68" t="n">
        <v>8</v>
      </c>
      <c r="B32" s="256">
        <f>IF(ISERROR(VLOOKUP(A32,Verification!B14:D585,3,FALSE)),"",(VLOOKUP(A32,Verification!B14:D585,3,FALSE)))</f>
        <v/>
      </c>
      <c r="C32" s="292" t="n"/>
      <c r="D32" s="254">
        <f>IF(ISERROR(VLOOKUP(A32,Verification!$B$6:$K$578,10,FALSE)),"",(VLOOKUP(A32,Verification!$B$6:$K$578,10,FALSE)))</f>
        <v/>
      </c>
      <c r="E32" s="292" t="n"/>
      <c r="F32" s="254">
        <f>IF(ISERROR(VLOOKUP(A32,Verification!$B$6:$L$578,11,FALSE)),"",(VLOOKUP(A32,Verification!$B$6:$L$578,11,FALSE)))</f>
        <v/>
      </c>
      <c r="H32" s="293">
        <f>IF(ISERROR(VLOOKUP(A32,Verification!$B$6:$M$578,12,FALSE)),"",(VLOOKUP(A32,Verification!$B$6:$M$578,12,FALSE)))</f>
        <v/>
      </c>
      <c r="I32" s="254">
        <f>IF(ISERROR(VLOOKUP(A32,Verification!$B$6:$N$578,13,FALSE)),"",(VLOOKUP(A32,Verification!$B$6:$N$578,13,FALSE)))</f>
        <v/>
      </c>
      <c r="J32" s="292" t="n"/>
    </row>
    <row r="33" ht="28.5" customHeight="1">
      <c r="A33" s="68" t="n">
        <v>9</v>
      </c>
      <c r="B33" s="256">
        <f>IF(ISERROR(VLOOKUP(A33,Verification!B15:D586,3,FALSE)),"",(VLOOKUP(A33,Verification!B15:D586,3,FALSE)))</f>
        <v/>
      </c>
      <c r="C33" s="292" t="n"/>
      <c r="D33" s="254">
        <f>IF(ISERROR(VLOOKUP(A33,Verification!$B$6:$K$578,10,FALSE)),"",(VLOOKUP(A33,Verification!$B$6:$K$578,10,FALSE)))</f>
        <v/>
      </c>
      <c r="E33" s="292" t="n"/>
      <c r="F33" s="254">
        <f>IF(ISERROR(VLOOKUP(A33,Verification!$B$6:$L$578,11,FALSE)),"",(VLOOKUP(A33,Verification!$B$6:$L$578,11,FALSE)))</f>
        <v/>
      </c>
      <c r="H33" s="293">
        <f>IF(ISERROR(VLOOKUP(A33,Verification!$B$6:$M$578,12,FALSE)),"",(VLOOKUP(A33,Verification!$B$6:$M$578,12,FALSE)))</f>
        <v/>
      </c>
      <c r="I33" s="254">
        <f>IF(ISERROR(VLOOKUP(A33,Verification!$B$6:$N$578,13,FALSE)),"",(VLOOKUP(A33,Verification!$B$6:$N$578,13,FALSE)))</f>
        <v/>
      </c>
      <c r="J33" s="292" t="n"/>
    </row>
    <row r="34" ht="28.5" customHeight="1">
      <c r="A34" s="68" t="n">
        <v>10</v>
      </c>
      <c r="B34" s="256">
        <f>IF(ISERROR(VLOOKUP(A34,Verification!B16:D587,3,FALSE)),"",(VLOOKUP(A34,Verification!B16:D587,3,FALSE)))</f>
        <v/>
      </c>
      <c r="C34" s="292" t="n"/>
      <c r="D34" s="254">
        <f>IF(ISERROR(VLOOKUP(A34,Verification!$B$6:$K$578,10,FALSE)),"",(VLOOKUP(A34,Verification!$B$6:$K$578,10,FALSE)))</f>
        <v/>
      </c>
      <c r="E34" s="292" t="n"/>
      <c r="F34" s="254">
        <f>IF(ISERROR(VLOOKUP(A34,Verification!$B$6:$L$578,11,FALSE)),"",(VLOOKUP(A34,Verification!$B$6:$L$578,11,FALSE)))</f>
        <v/>
      </c>
      <c r="H34" s="293">
        <f>IF(ISERROR(VLOOKUP(A34,Verification!$B$6:$M$578,12,FALSE)),"",(VLOOKUP(A34,Verification!$B$6:$M$578,12,FALSE)))</f>
        <v/>
      </c>
      <c r="I34" s="254">
        <f>IF(ISERROR(VLOOKUP(A34,Verification!$B$6:$N$578,13,FALSE)),"",(VLOOKUP(A34,Verification!$B$6:$N$578,13,FALSE)))</f>
        <v/>
      </c>
      <c r="J34" s="292" t="n"/>
    </row>
    <row r="35" ht="28.5" customHeight="1">
      <c r="A35" s="68" t="n">
        <v>11</v>
      </c>
      <c r="B35" s="256">
        <f>IF(ISERROR(VLOOKUP(A35,Verification!B17:D588,3,FALSE)),"",(VLOOKUP(A35,Verification!B17:D588,3,FALSE)))</f>
        <v/>
      </c>
      <c r="C35" s="292" t="n"/>
      <c r="D35" s="254">
        <f>IF(ISERROR(VLOOKUP(A35,Verification!$B$6:$K$578,10,FALSE)),"",(VLOOKUP(A35,Verification!$B$6:$K$578,10,FALSE)))</f>
        <v/>
      </c>
      <c r="E35" s="292" t="n"/>
      <c r="F35" s="254">
        <f>IF(ISERROR(VLOOKUP(A35,Verification!$B$6:$L$578,11,FALSE)),"",(VLOOKUP(A35,Verification!$B$6:$L$578,11,FALSE)))</f>
        <v/>
      </c>
      <c r="H35" s="293">
        <f>IF(ISERROR(VLOOKUP(A35,Verification!$B$6:$M$578,12,FALSE)),"",(VLOOKUP(A35,Verification!$B$6:$M$578,12,FALSE)))</f>
        <v/>
      </c>
      <c r="I35" s="254">
        <f>IF(ISERROR(VLOOKUP(A35,Verification!$B$6:$N$578,13,FALSE)),"",(VLOOKUP(A35,Verification!$B$6:$N$578,13,FALSE)))</f>
        <v/>
      </c>
      <c r="J35" s="292" t="n"/>
    </row>
    <row r="36" ht="28.5" customHeight="1">
      <c r="A36" s="68" t="n">
        <v>12</v>
      </c>
      <c r="B36" s="256">
        <f>IF(ISERROR(VLOOKUP(A36,Verification!B18:D589,3,FALSE)),"",(VLOOKUP(A36,Verification!B18:D589,3,FALSE)))</f>
        <v/>
      </c>
      <c r="C36" s="292" t="n"/>
      <c r="D36" s="254">
        <f>IF(ISERROR(VLOOKUP(A36,Verification!$B$6:$K$578,10,FALSE)),"",(VLOOKUP(A36,Verification!$B$6:$K$578,10,FALSE)))</f>
        <v/>
      </c>
      <c r="E36" s="292" t="n"/>
      <c r="F36" s="254">
        <f>IF(ISERROR(VLOOKUP(A36,Verification!$B$6:$L$578,11,FALSE)),"",(VLOOKUP(A36,Verification!$B$6:$L$578,11,FALSE)))</f>
        <v/>
      </c>
      <c r="H36" s="293">
        <f>IF(ISERROR(VLOOKUP(A36,Verification!$B$6:$M$578,12,FALSE)),"",(VLOOKUP(A36,Verification!$B$6:$M$578,12,FALSE)))</f>
        <v/>
      </c>
      <c r="I36" s="254">
        <f>IF(ISERROR(VLOOKUP(A36,Verification!$B$6:$N$578,13,FALSE)),"",(VLOOKUP(A36,Verification!$B$6:$N$578,13,FALSE)))</f>
        <v/>
      </c>
      <c r="J36" s="292" t="n"/>
    </row>
    <row r="37" ht="28.5" customHeight="1">
      <c r="A37" s="68" t="n">
        <v>13</v>
      </c>
      <c r="B37" s="256">
        <f>IF(ISERROR(VLOOKUP(A37,Verification!B19:D590,3,FALSE)),"",(VLOOKUP(A37,Verification!B19:D590,3,FALSE)))</f>
        <v/>
      </c>
      <c r="C37" s="292" t="n"/>
      <c r="D37" s="254">
        <f>IF(ISERROR(VLOOKUP(A37,Verification!$B$6:$K$578,10,FALSE)),"",(VLOOKUP(A37,Verification!$B$6:$K$578,10,FALSE)))</f>
        <v/>
      </c>
      <c r="E37" s="292" t="n"/>
      <c r="F37" s="254">
        <f>IF(ISERROR(VLOOKUP(A37,Verification!$B$6:$L$578,11,FALSE)),"",(VLOOKUP(A37,Verification!$B$6:$L$578,11,FALSE)))</f>
        <v/>
      </c>
      <c r="H37" s="293">
        <f>IF(ISERROR(VLOOKUP(A37,Verification!$B$6:$M$578,12,FALSE)),"",(VLOOKUP(A37,Verification!$B$6:$M$578,12,FALSE)))</f>
        <v/>
      </c>
      <c r="I37" s="254">
        <f>IF(ISERROR(VLOOKUP(A37,Verification!$B$6:$N$578,13,FALSE)),"",(VLOOKUP(A37,Verification!$B$6:$N$578,13,FALSE)))</f>
        <v/>
      </c>
      <c r="J37" s="292" t="n"/>
    </row>
    <row r="38" ht="28.5" customHeight="1">
      <c r="A38" s="68" t="n">
        <v>14</v>
      </c>
      <c r="B38" s="256">
        <f>IF(ISERROR(VLOOKUP(A38,Verification!B20:D591,3,FALSE)),"",(VLOOKUP(A38,Verification!B20:D591,3,FALSE)))</f>
        <v/>
      </c>
      <c r="C38" s="292" t="n"/>
      <c r="D38" s="254">
        <f>IF(ISERROR(VLOOKUP(A38,Verification!$B$6:$K$578,10,FALSE)),"",(VLOOKUP(A38,Verification!$B$6:$K$578,10,FALSE)))</f>
        <v/>
      </c>
      <c r="E38" s="292" t="n"/>
      <c r="F38" s="254">
        <f>IF(ISERROR(VLOOKUP(A38,Verification!$B$6:$L$578,11,FALSE)),"",(VLOOKUP(A38,Verification!$B$6:$L$578,11,FALSE)))</f>
        <v/>
      </c>
      <c r="H38" s="293">
        <f>IF(ISERROR(VLOOKUP(A38,Verification!$B$6:$M$578,12,FALSE)),"",(VLOOKUP(A38,Verification!$B$6:$M$578,12,FALSE)))</f>
        <v/>
      </c>
      <c r="I38" s="254">
        <f>IF(ISERROR(VLOOKUP(A38,Verification!$B$6:$N$578,13,FALSE)),"",(VLOOKUP(A38,Verification!$B$6:$N$578,13,FALSE)))</f>
        <v/>
      </c>
      <c r="J38" s="292" t="n"/>
    </row>
    <row r="39" ht="28.5" customHeight="1">
      <c r="A39" s="68" t="n">
        <v>15</v>
      </c>
      <c r="B39" s="256">
        <f>IF(ISERROR(VLOOKUP(A39,Verification!B21:D592,3,FALSE)),"",(VLOOKUP(A39,Verification!B21:D592,3,FALSE)))</f>
        <v/>
      </c>
      <c r="C39" s="292" t="n"/>
      <c r="D39" s="254">
        <f>IF(ISERROR(VLOOKUP(A39,Verification!$B$6:$K$578,10,FALSE)),"",(VLOOKUP(A39,Verification!$B$6:$K$578,10,FALSE)))</f>
        <v/>
      </c>
      <c r="E39" s="292" t="n"/>
      <c r="F39" s="254">
        <f>IF(ISERROR(VLOOKUP(A39,Verification!$B$6:$L$578,11,FALSE)),"",(VLOOKUP(A39,Verification!$B$6:$L$578,11,FALSE)))</f>
        <v/>
      </c>
      <c r="H39" s="293">
        <f>IF(ISERROR(VLOOKUP(A39,Verification!$B$6:$M$578,12,FALSE)),"",(VLOOKUP(A39,Verification!$B$6:$M$578,12,FALSE)))</f>
        <v/>
      </c>
      <c r="I39" s="254">
        <f>IF(ISERROR(VLOOKUP(A39,Verification!$B$6:$N$578,13,FALSE)),"",(VLOOKUP(A39,Verification!$B$6:$N$578,13,FALSE)))</f>
        <v/>
      </c>
      <c r="J39" s="292" t="n"/>
    </row>
    <row r="40" ht="28.5" customHeight="1">
      <c r="A40" s="68" t="n">
        <v>16</v>
      </c>
      <c r="B40" s="256">
        <f>IF(ISERROR(VLOOKUP(A40,Verification!B22:D593,3,FALSE)),"",(VLOOKUP(A40,Verification!B22:D593,3,FALSE)))</f>
        <v/>
      </c>
      <c r="C40" s="292" t="n"/>
      <c r="D40" s="254">
        <f>IF(ISERROR(VLOOKUP(A40,Verification!$B$6:$K$578,10,FALSE)),"",(VLOOKUP(A40,Verification!$B$6:$K$578,10,FALSE)))</f>
        <v/>
      </c>
      <c r="E40" s="292" t="n"/>
      <c r="F40" s="254">
        <f>IF(ISERROR(VLOOKUP(A40,Verification!$B$6:$L$578,11,FALSE)),"",(VLOOKUP(A40,Verification!$B$6:$L$578,11,FALSE)))</f>
        <v/>
      </c>
      <c r="H40" s="293">
        <f>IF(ISERROR(VLOOKUP(A40,Verification!$B$6:$M$578,12,FALSE)),"",(VLOOKUP(A40,Verification!$B$6:$M$578,12,FALSE)))</f>
        <v/>
      </c>
      <c r="I40" s="254">
        <f>IF(ISERROR(VLOOKUP(A40,Verification!$B$6:$N$578,13,FALSE)),"",(VLOOKUP(A40,Verification!$B$6:$N$578,13,FALSE)))</f>
        <v/>
      </c>
      <c r="J40" s="292" t="n"/>
    </row>
    <row r="41" ht="28.5" customHeight="1">
      <c r="A41" s="68" t="n">
        <v>17</v>
      </c>
      <c r="B41" s="256">
        <f>IF(ISERROR(VLOOKUP(A41,Verification!B23:D594,3,FALSE)),"",(VLOOKUP(A41,Verification!B23:D594,3,FALSE)))</f>
        <v/>
      </c>
      <c r="C41" s="292" t="n"/>
      <c r="D41" s="254">
        <f>IF(ISERROR(VLOOKUP(A41,Verification!$B$6:$K$578,10,FALSE)),"",(VLOOKUP(A41,Verification!$B$6:$K$578,10,FALSE)))</f>
        <v/>
      </c>
      <c r="E41" s="292" t="n"/>
      <c r="F41" s="254">
        <f>IF(ISERROR(VLOOKUP(A41,Verification!$B$6:$L$578,11,FALSE)),"",(VLOOKUP(A41,Verification!$B$6:$L$578,11,FALSE)))</f>
        <v/>
      </c>
      <c r="H41" s="293">
        <f>IF(ISERROR(VLOOKUP(A41,Verification!$B$6:$M$578,12,FALSE)),"",(VLOOKUP(A41,Verification!$B$6:$M$578,12,FALSE)))</f>
        <v/>
      </c>
      <c r="I41" s="254">
        <f>IF(ISERROR(VLOOKUP(A41,Verification!$B$6:$N$578,13,FALSE)),"",(VLOOKUP(A41,Verification!$B$6:$N$578,13,FALSE)))</f>
        <v/>
      </c>
      <c r="J41" s="292" t="n"/>
    </row>
    <row r="42" ht="28.5" customHeight="1">
      <c r="A42" s="68" t="n">
        <v>18</v>
      </c>
      <c r="B42" s="256">
        <f>IF(ISERROR(VLOOKUP(A42,Verification!B24:D595,3,FALSE)),"",(VLOOKUP(A42,Verification!B24:D595,3,FALSE)))</f>
        <v/>
      </c>
      <c r="C42" s="292" t="n"/>
      <c r="D42" s="254">
        <f>IF(ISERROR(VLOOKUP(A42,Verification!$B$6:$K$578,10,FALSE)),"",(VLOOKUP(A42,Verification!$B$6:$K$578,10,FALSE)))</f>
        <v/>
      </c>
      <c r="E42" s="292" t="n"/>
      <c r="F42" s="254">
        <f>IF(ISERROR(VLOOKUP(A42,Verification!$B$6:$L$578,11,FALSE)),"",(VLOOKUP(A42,Verification!$B$6:$L$578,11,FALSE)))</f>
        <v/>
      </c>
      <c r="H42" s="293">
        <f>IF(ISERROR(VLOOKUP(A42,Verification!$B$6:$M$578,12,FALSE)),"",(VLOOKUP(A42,Verification!$B$6:$M$578,12,FALSE)))</f>
        <v/>
      </c>
      <c r="I42" s="254">
        <f>IF(ISERROR(VLOOKUP(A42,Verification!$B$6:$N$578,13,FALSE)),"",(VLOOKUP(A42,Verification!$B$6:$N$578,13,FALSE)))</f>
        <v/>
      </c>
      <c r="J42" s="292" t="n"/>
    </row>
    <row r="43" ht="28.5" customHeight="1">
      <c r="A43" s="68" t="n">
        <v>19</v>
      </c>
      <c r="B43" s="256">
        <f>IF(ISERROR(VLOOKUP(A43,Verification!B25:D596,3,FALSE)),"",(VLOOKUP(A43,Verification!B25:D596,3,FALSE)))</f>
        <v/>
      </c>
      <c r="C43" s="292" t="n"/>
      <c r="D43" s="254">
        <f>IF(ISERROR(VLOOKUP(A43,Verification!$B$6:$K$578,10,FALSE)),"",(VLOOKUP(A43,Verification!$B$6:$K$578,10,FALSE)))</f>
        <v/>
      </c>
      <c r="E43" s="292" t="n"/>
      <c r="F43" s="254">
        <f>IF(ISERROR(VLOOKUP(A43,Verification!$B$6:$L$578,11,FALSE)),"",(VLOOKUP(A43,Verification!$B$6:$L$578,11,FALSE)))</f>
        <v/>
      </c>
      <c r="H43" s="293">
        <f>IF(ISERROR(VLOOKUP(A43,Verification!$B$6:$M$578,12,FALSE)),"",(VLOOKUP(A43,Verification!$B$6:$M$578,12,FALSE)))</f>
        <v/>
      </c>
      <c r="I43" s="254">
        <f>IF(ISERROR(VLOOKUP(A43,Verification!$B$6:$N$578,13,FALSE)),"",(VLOOKUP(A43,Verification!$B$6:$N$578,13,FALSE)))</f>
        <v/>
      </c>
      <c r="J43" s="292" t="n"/>
    </row>
    <row r="44" ht="28.5" customHeight="1">
      <c r="A44" s="68" t="n">
        <v>20</v>
      </c>
      <c r="B44" s="256">
        <f>IF(ISERROR(VLOOKUP(A44,Verification!B26:D597,3,FALSE)),"",(VLOOKUP(A44,Verification!B26:D597,3,FALSE)))</f>
        <v/>
      </c>
      <c r="C44" s="292" t="n"/>
      <c r="D44" s="254">
        <f>IF(ISERROR(VLOOKUP(A44,Verification!$B$6:$K$578,10,FALSE)),"",(VLOOKUP(A44,Verification!$B$6:$K$578,10,FALSE)))</f>
        <v/>
      </c>
      <c r="E44" s="292" t="n"/>
      <c r="F44" s="254">
        <f>IF(ISERROR(VLOOKUP(A44,Verification!$B$6:$L$578,11,FALSE)),"",(VLOOKUP(A44,Verification!$B$6:$L$578,11,FALSE)))</f>
        <v/>
      </c>
      <c r="H44" s="293">
        <f>IF(ISERROR(VLOOKUP(A44,Verification!$B$6:$M$578,12,FALSE)),"",(VLOOKUP(A44,Verification!$B$6:$M$578,12,FALSE)))</f>
        <v/>
      </c>
      <c r="I44" s="254">
        <f>IF(ISERROR(VLOOKUP(A44,Verification!$B$6:$N$578,13,FALSE)),"",(VLOOKUP(A44,Verification!$B$6:$N$578,13,FALSE)))</f>
        <v/>
      </c>
      <c r="J44" s="292" t="n"/>
    </row>
    <row r="45" ht="28.5" customHeight="1">
      <c r="A45" s="68" t="n">
        <v>21</v>
      </c>
      <c r="B45" s="256">
        <f>IF(ISERROR(VLOOKUP(A45,Verification!B27:D598,3,FALSE)),"",(VLOOKUP(A45,Verification!B27:D598,3,FALSE)))</f>
        <v/>
      </c>
      <c r="C45" s="292" t="n"/>
      <c r="D45" s="254">
        <f>IF(ISERROR(VLOOKUP(A45,Verification!$B$6:$K$578,10,FALSE)),"",(VLOOKUP(A45,Verification!$B$6:$K$578,10,FALSE)))</f>
        <v/>
      </c>
      <c r="E45" s="292" t="n"/>
      <c r="F45" s="254">
        <f>IF(ISERROR(VLOOKUP(A45,Verification!$B$6:$L$578,11,FALSE)),"",(VLOOKUP(A45,Verification!$B$6:$L$578,11,FALSE)))</f>
        <v/>
      </c>
      <c r="H45" s="293">
        <f>IF(ISERROR(VLOOKUP(A45,Verification!$B$6:$M$578,12,FALSE)),"",(VLOOKUP(A45,Verification!$B$6:$M$578,12,FALSE)))</f>
        <v/>
      </c>
      <c r="I45" s="254">
        <f>IF(ISERROR(VLOOKUP(A45,Verification!$B$6:$N$578,13,FALSE)),"",(VLOOKUP(A45,Verification!$B$6:$N$578,13,FALSE)))</f>
        <v/>
      </c>
      <c r="J45" s="292" t="n"/>
    </row>
    <row r="46" ht="28.5" customHeight="1">
      <c r="A46" s="68" t="n">
        <v>22</v>
      </c>
      <c r="B46" s="256">
        <f>IF(ISERROR(VLOOKUP(A46,Verification!B28:D599,3,FALSE)),"",(VLOOKUP(A46,Verification!B28:D599,3,FALSE)))</f>
        <v/>
      </c>
      <c r="C46" s="292" t="n"/>
      <c r="D46" s="254">
        <f>IF(ISERROR(VLOOKUP(A46,Verification!$B$6:$K$578,10,FALSE)),"",(VLOOKUP(A46,Verification!$B$6:$K$578,10,FALSE)))</f>
        <v/>
      </c>
      <c r="E46" s="292" t="n"/>
      <c r="F46" s="254">
        <f>IF(ISERROR(VLOOKUP(A46,Verification!$B$6:$L$578,11,FALSE)),"",(VLOOKUP(A46,Verification!$B$6:$L$578,11,FALSE)))</f>
        <v/>
      </c>
      <c r="H46" s="293">
        <f>IF(ISERROR(VLOOKUP(A46,Verification!$B$6:$M$578,12,FALSE)),"",(VLOOKUP(A46,Verification!$B$6:$M$578,12,FALSE)))</f>
        <v/>
      </c>
      <c r="I46" s="254">
        <f>IF(ISERROR(VLOOKUP(A46,Verification!$B$6:$N$578,13,FALSE)),"",(VLOOKUP(A46,Verification!$B$6:$N$578,13,FALSE)))</f>
        <v/>
      </c>
      <c r="J46" s="292" t="n"/>
    </row>
    <row r="47" ht="28.5" customHeight="1">
      <c r="A47" s="68" t="n">
        <v>23</v>
      </c>
      <c r="B47" s="256">
        <f>IF(ISERROR(VLOOKUP(A47,Verification!B29:D600,3,FALSE)),"",(VLOOKUP(A47,Verification!B29:D600,3,FALSE)))</f>
        <v/>
      </c>
      <c r="C47" s="292" t="n"/>
      <c r="D47" s="254">
        <f>IF(ISERROR(VLOOKUP(A47,Verification!$B$6:$K$578,10,FALSE)),"",(VLOOKUP(A47,Verification!$B$6:$K$578,10,FALSE)))</f>
        <v/>
      </c>
      <c r="E47" s="292" t="n"/>
      <c r="F47" s="254">
        <f>IF(ISERROR(VLOOKUP(A47,Verification!$B$6:$L$578,11,FALSE)),"",(VLOOKUP(A47,Verification!$B$6:$L$578,11,FALSE)))</f>
        <v/>
      </c>
      <c r="H47" s="293">
        <f>IF(ISERROR(VLOOKUP(A47,Verification!$B$6:$M$578,12,FALSE)),"",(VLOOKUP(A47,Verification!$B$6:$M$578,12,FALSE)))</f>
        <v/>
      </c>
      <c r="I47" s="254">
        <f>IF(ISERROR(VLOOKUP(A47,Verification!$B$6:$N$578,13,FALSE)),"",(VLOOKUP(A47,Verification!$B$6:$N$578,13,FALSE)))</f>
        <v/>
      </c>
      <c r="J47" s="292" t="n"/>
    </row>
    <row r="48" ht="28.5" customHeight="1">
      <c r="A48" s="68" t="n">
        <v>24</v>
      </c>
      <c r="B48" s="256">
        <f>IF(ISERROR(VLOOKUP(A48,Verification!B30:D601,3,FALSE)),"",(VLOOKUP(A48,Verification!B30:D601,3,FALSE)))</f>
        <v/>
      </c>
      <c r="C48" s="292" t="n"/>
      <c r="D48" s="254">
        <f>IF(ISERROR(VLOOKUP(A48,Verification!$B$6:$K$578,10,FALSE)),"",(VLOOKUP(A48,Verification!$B$6:$K$578,10,FALSE)))</f>
        <v/>
      </c>
      <c r="E48" s="292" t="n"/>
      <c r="F48" s="254">
        <f>IF(ISERROR(VLOOKUP(A48,Verification!$B$6:$L$578,11,FALSE)),"",(VLOOKUP(A48,Verification!$B$6:$L$578,11,FALSE)))</f>
        <v/>
      </c>
      <c r="H48" s="293">
        <f>IF(ISERROR(VLOOKUP(A48,Verification!B30:M601,10,FALSE)),"",(VLOOKUP(A48,Verification!B30:M601,10,FALSE)))</f>
        <v/>
      </c>
      <c r="I48" s="254">
        <f>IF(ISERROR(VLOOKUP(A48,Verification!$B$6:$N$578,13,FALSE)),"",(VLOOKUP(A48,Verification!$B$6:$N$578,13,FALSE)))</f>
        <v/>
      </c>
      <c r="J48" s="292" t="n"/>
    </row>
    <row r="49" ht="28.5" customHeight="1">
      <c r="A49" s="68" t="n">
        <v>25</v>
      </c>
      <c r="B49" s="256">
        <f>IF(ISERROR(VLOOKUP(A49,Verification!B31:D602,3,FALSE)),"",(VLOOKUP(A49,Verification!B31:D602,3,FALSE)))</f>
        <v/>
      </c>
      <c r="C49" s="292" t="n"/>
      <c r="D49" s="254">
        <f>IF(ISERROR(VLOOKUP(A49,Verification!$B$6:$K$578,10,FALSE)),"",(VLOOKUP(A49,Verification!$B$6:$K$578,10,FALSE)))</f>
        <v/>
      </c>
      <c r="E49" s="292" t="n"/>
      <c r="F49" s="254">
        <f>IF(ISERROR(VLOOKUP(A49,Verification!$B$6:$L$578,11,FALSE)),"",(VLOOKUP(A49,Verification!$B$6:$L$578,11,FALSE)))</f>
        <v/>
      </c>
      <c r="H49" s="293">
        <f>IF(ISERROR(VLOOKUP(A49,Verification!B31:M602,10,FALSE)),"",(VLOOKUP(A49,Verification!B31:M602,10,FALSE)))</f>
        <v/>
      </c>
      <c r="I49" s="254">
        <f>IF(ISERROR(VLOOKUP(A49,Verification!$B$6:$N$578,13,FALSE)),"",(VLOOKUP(A49,Verification!$B$6:$N$578,13,FALSE)))</f>
        <v/>
      </c>
      <c r="J49" s="292" t="n"/>
    </row>
  </sheetData>
  <mergeCells count="78">
    <mergeCell ref="B31:C31"/>
    <mergeCell ref="D36:E36"/>
    <mergeCell ref="D31:E31"/>
    <mergeCell ref="I26:J26"/>
    <mergeCell ref="D45:E45"/>
    <mergeCell ref="D44:E44"/>
    <mergeCell ref="I25:J25"/>
    <mergeCell ref="D48:E48"/>
    <mergeCell ref="B38:C38"/>
    <mergeCell ref="I42:J42"/>
    <mergeCell ref="B40:C40"/>
    <mergeCell ref="B49:C49"/>
    <mergeCell ref="I44:J44"/>
    <mergeCell ref="D24:E24"/>
    <mergeCell ref="B33:C33"/>
    <mergeCell ref="D33:E33"/>
    <mergeCell ref="B32:C32"/>
    <mergeCell ref="B26:C26"/>
    <mergeCell ref="B41:C41"/>
    <mergeCell ref="D26:E26"/>
    <mergeCell ref="B35:C35"/>
    <mergeCell ref="D35:E35"/>
    <mergeCell ref="I30:J30"/>
    <mergeCell ref="B25:C25"/>
    <mergeCell ref="I46:J46"/>
    <mergeCell ref="D34:E34"/>
    <mergeCell ref="B27:C27"/>
    <mergeCell ref="E3:H3"/>
    <mergeCell ref="I32:J32"/>
    <mergeCell ref="I41:J41"/>
    <mergeCell ref="D47:E47"/>
    <mergeCell ref="I43:J43"/>
    <mergeCell ref="B29:C29"/>
    <mergeCell ref="I24:J24"/>
    <mergeCell ref="B37:C37"/>
    <mergeCell ref="I33:J33"/>
    <mergeCell ref="D37:E37"/>
    <mergeCell ref="D39:E39"/>
    <mergeCell ref="I35:J35"/>
    <mergeCell ref="D29:E29"/>
    <mergeCell ref="D38:E38"/>
    <mergeCell ref="I45:J45"/>
    <mergeCell ref="B43:C43"/>
    <mergeCell ref="I47:J47"/>
    <mergeCell ref="D49:E49"/>
    <mergeCell ref="D27:E27"/>
    <mergeCell ref="B42:C42"/>
    <mergeCell ref="I37:J37"/>
    <mergeCell ref="B44:C44"/>
    <mergeCell ref="B34:C34"/>
    <mergeCell ref="B28:C28"/>
    <mergeCell ref="D28:E28"/>
    <mergeCell ref="D25:E25"/>
    <mergeCell ref="B30:C30"/>
    <mergeCell ref="D30:E30"/>
    <mergeCell ref="B45:C45"/>
    <mergeCell ref="I34:J34"/>
    <mergeCell ref="B47:C47"/>
    <mergeCell ref="I49:J49"/>
    <mergeCell ref="B46:C46"/>
    <mergeCell ref="I27:J27"/>
    <mergeCell ref="D46:E46"/>
    <mergeCell ref="I36:J36"/>
    <mergeCell ref="D40:E40"/>
    <mergeCell ref="B39:C39"/>
    <mergeCell ref="B48:C48"/>
    <mergeCell ref="D32:E32"/>
    <mergeCell ref="I28:J28"/>
    <mergeCell ref="D41:E41"/>
    <mergeCell ref="D43:E43"/>
    <mergeCell ref="I39:J39"/>
    <mergeCell ref="I48:J48"/>
    <mergeCell ref="I29:J29"/>
    <mergeCell ref="I38:J38"/>
    <mergeCell ref="D42:E42"/>
    <mergeCell ref="B36:C36"/>
    <mergeCell ref="I31:J31"/>
    <mergeCell ref="I40:J40"/>
  </mergeCells>
  <pageMargins left="0.7086614173228347" right="0.7086614173228347" top="0.7480314960629921" bottom="0.7480314960629921" header="0.3149606299212598" footer="0.3149606299212598"/>
  <pageSetup orientation="portrait" scale="65"/>
  <headerFooter>
    <oddHeader/>
    <oddFooter>&amp;L&amp;"Arial"&amp;7 &amp;K000000_x000d_# [Internal]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theme="3" tint="-0.249977111117893"/>
    <outlinePr summaryBelow="1" summaryRight="1"/>
    <pageSetUpPr fitToPage="1"/>
  </sheetPr>
  <dimension ref="A1:R6"/>
  <sheetViews>
    <sheetView showGridLines="0" zoomScale="55" zoomScaleNormal="55" workbookViewId="0">
      <pane xSplit="6" ySplit="4" topLeftCell="L5" activePane="bottomRight" state="frozen"/>
      <selection pane="topRight" activeCell="G1" sqref="G1"/>
      <selection pane="bottomLeft" activeCell="A5" sqref="A5"/>
      <selection pane="bottomRight" activeCell="R346" sqref="R346"/>
    </sheetView>
  </sheetViews>
  <sheetFormatPr baseColWidth="8" defaultRowHeight="23.25"/>
  <cols>
    <col width="4.7109375" customWidth="1" style="90" min="1" max="2"/>
    <col width="9" customWidth="1" style="63" min="3" max="3"/>
    <col width="12.42578125" customWidth="1" style="103" min="4" max="4"/>
    <col width="42.42578125" customWidth="1" style="217" min="5" max="5"/>
    <col width="128.28515625" customWidth="1" style="217" min="6" max="6"/>
    <col width="17" customWidth="1" style="111" min="7" max="7"/>
    <col width="34.140625" customWidth="1" style="98" min="8" max="8"/>
    <col width="29.85546875" customWidth="1" style="1" min="9" max="9"/>
    <col width="51.42578125" customWidth="1" style="1" min="10" max="10"/>
    <col width="89.28515625" customWidth="1" style="1" min="11" max="11"/>
    <col width="31.42578125" customWidth="1" style="1" min="12" max="12"/>
    <col width="21.5703125" customWidth="1" style="1" min="13" max="14"/>
    <col width="42.28515625" customWidth="1" style="20" min="15" max="15"/>
    <col width="28.140625" customWidth="1" style="20" min="16" max="16"/>
    <col width="40.140625" customWidth="1" style="20" min="17" max="17"/>
    <col width="30.42578125" customWidth="1" style="98" min="18" max="18"/>
    <col width="18" bestFit="1" customWidth="1" style="20" min="19" max="19"/>
    <col width="21" customWidth="1" style="20" min="20" max="21"/>
    <col width="30" customWidth="1" style="1" min="22" max="30"/>
    <col width="25" customWidth="1" style="1" min="31" max="31"/>
    <col width="29.42578125" customWidth="1" style="1" min="32" max="32"/>
    <col width="25" customWidth="1" style="1" min="33" max="33"/>
    <col width="24.28515625" customWidth="1" style="1" min="34" max="34"/>
    <col width="25" customWidth="1" style="1" min="35" max="41"/>
    <col width="17.28515625" bestFit="1" customWidth="1" style="1" min="42" max="42"/>
    <col width="25" customWidth="1" style="1" min="43" max="51"/>
    <col width="27.7109375" customWidth="1" style="1" min="52" max="53"/>
    <col width="9.140625" customWidth="1" style="1" min="54" max="66"/>
  </cols>
  <sheetData>
    <row r="1" ht="35.25" customHeight="1">
      <c r="E1" s="208" t="inlineStr">
        <is>
          <t>CLIENTE:</t>
        </is>
      </c>
      <c r="F1" s="294" t="n"/>
      <c r="G1" s="295" t="n"/>
    </row>
    <row r="2" ht="72.75" customHeight="1">
      <c r="E2" s="208" t="inlineStr">
        <is>
          <t>NOME DO DOCUMENTO:</t>
        </is>
      </c>
      <c r="F2" s="206" t="n"/>
      <c r="G2" s="107" t="n"/>
      <c r="R2" s="296">
        <f>RESUMO!D6</f>
        <v/>
      </c>
    </row>
    <row r="3" ht="35.25" customHeight="1">
      <c r="E3" s="208" t="inlineStr">
        <is>
          <t>REVISÃO:</t>
        </is>
      </c>
      <c r="F3" s="210" t="n"/>
      <c r="G3" s="295" t="n"/>
      <c r="R3" s="297" t="inlineStr">
        <is>
          <t>Compliance</t>
        </is>
      </c>
    </row>
    <row r="4" ht="72" customHeight="1" thickBot="1">
      <c r="A4" s="91" t="n"/>
      <c r="B4" s="92" t="n"/>
      <c r="C4" s="64" t="inlineStr">
        <is>
          <t>Page</t>
        </is>
      </c>
      <c r="D4" s="62" t="n"/>
      <c r="E4" s="298" t="inlineStr">
        <is>
          <t>CONTENTS</t>
        </is>
      </c>
      <c r="F4" s="299" t="n"/>
      <c r="G4" s="50" t="inlineStr">
        <is>
          <t>LINKS</t>
        </is>
      </c>
      <c r="H4" s="16" t="inlineStr">
        <is>
          <t xml:space="preserve">ISO 
9001:2015
</t>
        </is>
      </c>
      <c r="I4" s="97" t="inlineStr">
        <is>
          <t>IATF 
16949:2016</t>
        </is>
      </c>
      <c r="J4" s="19" t="inlineStr">
        <is>
          <t>Comments  WPTGU</t>
        </is>
      </c>
      <c r="K4" s="19" t="inlineStr">
        <is>
          <t>Action plan</t>
        </is>
      </c>
      <c r="L4" s="19" t="inlineStr">
        <is>
          <t>RESPONSIBLE</t>
        </is>
      </c>
      <c r="M4" s="16" t="inlineStr">
        <is>
          <t>DEALINE</t>
        </is>
      </c>
      <c r="N4" s="16" t="inlineStr">
        <is>
          <t>ACTION
STATUS</t>
        </is>
      </c>
      <c r="O4" s="16" t="inlineStr">
        <is>
          <t>Reflected
LEONI IMS</t>
        </is>
      </c>
      <c r="P4" s="16" t="inlineStr">
        <is>
          <t xml:space="preserve">Reflected
OffRoad </t>
        </is>
      </c>
      <c r="Q4" s="16" t="inlineStr">
        <is>
          <t>Reflected
WPTGU</t>
        </is>
      </c>
      <c r="R4" s="16" t="inlineStr">
        <is>
          <t>STATUS</t>
        </is>
      </c>
    </row>
    <row r="5" ht="31.5" customHeight="1">
      <c r="A5" s="93" t="n"/>
      <c r="B5" s="94" t="n"/>
      <c r="C5" s="65" t="n"/>
      <c r="D5" s="46" t="n"/>
      <c r="E5" s="211" t="n"/>
      <c r="F5" s="212" t="n"/>
      <c r="G5" s="108" t="n"/>
      <c r="H5" s="99" t="n"/>
      <c r="I5" s="31" t="n"/>
      <c r="J5" s="35" t="n"/>
      <c r="K5" s="61" t="n"/>
      <c r="L5" s="31" t="n"/>
      <c r="M5" s="31" t="n"/>
      <c r="N5" s="31" t="n"/>
      <c r="O5" s="32" t="n"/>
      <c r="P5" s="32" t="n"/>
      <c r="Q5" s="32" t="n"/>
      <c r="R5" s="188" t="n"/>
    </row>
    <row r="6" ht="186.75" customHeight="1">
      <c r="A6" s="95" t="n"/>
      <c r="B6" s="96" t="n"/>
      <c r="C6" s="66" t="n"/>
      <c r="D6" s="104" t="n"/>
      <c r="E6" s="273" t="n"/>
      <c r="G6" s="34" t="n"/>
      <c r="H6" s="100" t="n"/>
      <c r="I6" s="28" t="n"/>
      <c r="J6" s="26" t="n"/>
      <c r="K6" s="26" t="n"/>
      <c r="L6" s="29" t="n"/>
      <c r="M6" s="29" t="n"/>
      <c r="N6" s="76" t="n"/>
      <c r="O6" s="29" t="n"/>
      <c r="P6" s="29" t="n"/>
      <c r="Q6" s="180" t="n"/>
      <c r="R6" s="189" t="n"/>
    </row>
    <row r="7" ht="149.25" customHeight="1"/>
    <row r="8" ht="202.5" customHeight="1"/>
    <row r="9" ht="104.25" customHeight="1"/>
    <row r="10" ht="31.5" customHeight="1"/>
    <row r="11" ht="69" customHeight="1"/>
    <row r="12" ht="54" customHeight="1"/>
    <row r="13" ht="31.5" customHeight="1"/>
    <row r="14" ht="94.5" customHeight="1"/>
    <row r="15" ht="59.25" customHeight="1"/>
    <row r="16" ht="59.25" customHeight="1"/>
    <row r="17" ht="59.25" customHeight="1"/>
    <row r="18" ht="59.25" customHeight="1"/>
    <row r="19" ht="59.25" customHeight="1"/>
    <row r="20" ht="93.75" customHeight="1"/>
    <row r="21" ht="93" customHeight="1"/>
    <row r="22" ht="59.25" customHeight="1"/>
    <row r="23" ht="59.25" customHeight="1"/>
    <row r="24" ht="93" customHeight="1"/>
    <row r="25" ht="39" customHeight="1"/>
    <row r="26" ht="59.25" customHeight="1"/>
    <row r="27" ht="63" customHeight="1"/>
    <row r="28" ht="59.25" customHeight="1"/>
    <row r="29" ht="117.75" customHeight="1"/>
    <row r="30" ht="105.75" customHeight="1"/>
    <row r="31" ht="70.5" customHeight="1"/>
    <row r="32" ht="123" customHeight="1"/>
    <row r="33" ht="222.75" customHeight="1"/>
    <row r="34" ht="129" customHeight="1"/>
    <row r="35" ht="108" customHeight="1"/>
    <row r="36" ht="63" customHeight="1"/>
    <row r="37" ht="92.25" customHeight="1"/>
    <row r="38" ht="130.5" customHeight="1"/>
    <row r="39" ht="59.25" customHeight="1"/>
    <row r="40" ht="92.25" customHeight="1"/>
    <row r="41" ht="59.25" customHeight="1"/>
    <row r="42" ht="86.25" customHeight="1"/>
    <row r="43" ht="127.5" customHeight="1"/>
    <row r="44" ht="112.5" customHeight="1"/>
    <row r="45" ht="36" customHeight="1"/>
    <row r="46" ht="70.5" customHeight="1"/>
    <row r="47" ht="42" customHeight="1"/>
    <row r="48" ht="69" customHeight="1"/>
    <row r="49" ht="175.5" customHeight="1"/>
    <row r="50" ht="63" customHeight="1"/>
    <row r="51" ht="39" customHeight="1"/>
    <row r="52" ht="26.25" customHeight="1"/>
    <row r="53" ht="137.25" customHeight="1"/>
    <row r="54" ht="69" customHeight="1"/>
    <row r="55" ht="59.25" customHeight="1"/>
    <row r="56" ht="222" customHeight="1"/>
    <row r="57" ht="81" customHeight="1"/>
    <row r="58" ht="102.75" customHeight="1"/>
    <row r="59" ht="104.25" customHeight="1"/>
    <row r="60" ht="59.25" customHeight="1"/>
    <row r="61" ht="59.25" customHeight="1"/>
    <row r="62" collapsed="1" ht="70.5" customHeight="1"/>
    <row r="63" ht="59.25" customHeight="1"/>
    <row r="64" ht="59.25" customHeight="1"/>
    <row r="65" ht="59.25" customHeight="1"/>
    <row r="66" ht="61.5" customHeight="1"/>
    <row r="67" ht="59.25" customHeight="1"/>
    <row r="68" ht="40.5" customHeight="1"/>
    <row r="69" ht="59.25" customHeight="1"/>
    <row r="70" ht="59.25" customHeight="1"/>
    <row r="71" ht="41.25" customHeight="1"/>
    <row r="72" ht="71.25" customHeight="1"/>
    <row r="73" ht="75.75" customHeight="1"/>
    <row r="74" ht="96" customHeight="1"/>
    <row r="75" ht="34.5" customHeight="1"/>
    <row r="76" ht="33" customHeight="1"/>
    <row r="77" ht="93" customHeight="1"/>
    <row r="78" ht="102.75" customHeight="1"/>
    <row r="79" ht="109.5" customHeight="1"/>
    <row r="80" ht="59.25" customHeight="1"/>
    <row r="81" ht="70.5" customHeight="1"/>
    <row r="82" ht="59.25" customHeight="1"/>
    <row r="83" ht="59.25" customHeight="1"/>
    <row r="84" ht="42.75" customHeight="1"/>
    <row r="85" ht="42.75" customHeight="1"/>
    <row r="86" ht="42.75" customHeight="1"/>
    <row r="87" ht="59.25" customHeight="1"/>
    <row r="88" ht="59.25" customHeight="1"/>
    <row r="89" ht="39" customHeight="1"/>
    <row r="90" ht="59.25" customHeight="1"/>
    <row r="91" ht="90.75" customHeight="1"/>
    <row r="92" ht="75.75" customHeight="1"/>
    <row r="93" ht="33" customHeight="1"/>
    <row r="94" ht="89.25" customHeight="1"/>
    <row r="95" ht="101.25" customHeight="1"/>
    <row r="96" ht="59.25" customHeight="1"/>
    <row r="97" ht="86.25" customHeight="1"/>
    <row r="98" ht="70.5" customHeight="1"/>
    <row r="99" ht="59.25" customHeight="1"/>
    <row r="100" ht="59.25" customHeight="1"/>
    <row r="101" ht="49.5" customFormat="1" customHeight="1" s="84"/>
    <row r="102" ht="329.25" customHeight="1"/>
    <row r="103" ht="81" customHeight="1"/>
    <row r="104" ht="94.5" customFormat="1" customHeight="1" s="84"/>
    <row r="105" ht="79.5" customHeight="1"/>
    <row r="106" ht="78" customHeight="1"/>
    <row r="107" ht="156" customHeight="1"/>
    <row r="108" ht="108" customHeight="1"/>
    <row r="109" ht="63" customFormat="1" customHeight="1" s="84"/>
    <row r="110" ht="59.25" customHeight="1"/>
    <row r="111" ht="31.5" customFormat="1" customHeight="1" s="84"/>
    <row r="112" ht="112.5" customHeight="1"/>
    <row r="113" ht="177" customHeight="1"/>
    <row r="114" ht="134.25" customHeight="1"/>
    <row r="115" ht="47.25" customHeight="1"/>
    <row r="116" ht="26.25" customHeight="1"/>
    <row r="117" ht="26.25" customHeight="1"/>
    <row r="118" ht="99.75" customHeight="1"/>
    <row r="119" ht="26.25" customHeight="1"/>
    <row r="120" ht="26.25" customHeight="1"/>
    <row r="121" ht="26.25" customHeight="1"/>
    <row r="122" ht="59.25" customHeight="1"/>
    <row r="123" ht="59.25" customHeight="1"/>
    <row r="124" ht="90.75" customHeight="1"/>
    <row r="125" ht="26.25" customHeight="1"/>
    <row r="126" ht="26.25" customHeight="1"/>
    <row r="127" ht="26.25" customHeight="1"/>
    <row r="128" ht="66" customHeight="1"/>
    <row r="129" ht="30" customHeight="1"/>
    <row r="130" ht="26.25" customHeight="1"/>
    <row r="131" ht="59.25" customHeight="1"/>
    <row r="132" ht="93" customHeight="1"/>
    <row r="133" ht="96" customHeight="1"/>
    <row r="134" ht="82.5" customHeight="1"/>
    <row r="135" ht="69" customHeight="1"/>
    <row r="136" ht="59.25" customHeight="1"/>
    <row r="137" ht="31.5" customFormat="1" customHeight="1" s="84"/>
    <row r="138" ht="144" customHeight="1"/>
    <row r="139" ht="87.75" customHeight="1"/>
    <row r="140" ht="59.25" customHeight="1"/>
    <row r="141" ht="37.5" customFormat="1" customHeight="1" s="84"/>
    <row r="142" ht="79.5" customHeight="1"/>
    <row r="143" ht="94.5" customFormat="1" customHeight="1" s="84"/>
    <row r="144" ht="147.75" customHeight="1"/>
    <row r="145" ht="59.25" customHeight="1"/>
    <row r="146" ht="37.5" customFormat="1" customHeight="1" s="84"/>
    <row r="147" ht="70.5" customHeight="1"/>
    <row r="148" ht="79.5" customHeight="1"/>
    <row r="149" ht="59.25" customHeight="1"/>
    <row r="150" ht="106.5" customHeight="1"/>
    <row r="151" ht="137.25" customHeight="1"/>
    <row r="152" ht="59.25" customHeight="1"/>
    <row r="153" ht="107.25" customHeight="1"/>
    <row r="154" ht="190.5" customHeight="1"/>
    <row r="155" ht="31.5" customFormat="1" customHeight="1" s="84"/>
    <row r="156" ht="129" customHeight="1"/>
    <row r="157" ht="59.25" customHeight="1"/>
    <row r="158" ht="175.5" customHeight="1"/>
    <row r="159" ht="78" customHeight="1"/>
    <row r="160" ht="102" customHeight="1"/>
    <row r="161" ht="129.75" customHeight="1"/>
    <row r="162" ht="82.5" customHeight="1"/>
    <row r="163" ht="78" customHeight="1"/>
    <row r="164" ht="96" customHeight="1"/>
    <row r="165" ht="60" customHeight="1"/>
    <row r="166" ht="60" customHeight="1"/>
    <row r="167" ht="147" customHeight="1"/>
    <row r="168" ht="104.25" customHeight="1"/>
    <row r="169" ht="92.25" customHeight="1"/>
    <row r="170" ht="64.5" customHeight="1"/>
    <row r="171" ht="67.5" customHeight="1"/>
    <row r="172" ht="111" customHeight="1"/>
    <row r="173" ht="34.5" customHeight="1"/>
    <row r="174" ht="63" customHeight="1"/>
    <row r="175" ht="42" customHeight="1"/>
    <row r="176" ht="54" customHeight="1"/>
    <row r="177" ht="59.25" customHeight="1"/>
    <row r="178" ht="59.25" customHeight="1"/>
    <row r="179" ht="59.25" customHeight="1"/>
    <row r="180" ht="59.25" customHeight="1"/>
    <row r="181" ht="77.25" customHeight="1"/>
    <row r="182" ht="123" customHeight="1"/>
    <row r="183" ht="75.75" customHeight="1"/>
    <row r="184" ht="99" customHeight="1"/>
    <row r="185" ht="75.75" customHeight="1"/>
    <row r="186" ht="135.75" customHeight="1"/>
    <row r="187" ht="119.25" customHeight="1"/>
    <row r="188" ht="152.25" customHeight="1"/>
    <row r="189" ht="114" customHeight="1"/>
    <row r="190" ht="180" customHeight="1"/>
    <row r="191" ht="205.5" customHeight="1"/>
    <row r="192" ht="59.25" customHeight="1"/>
    <row r="193" ht="93" customHeight="1"/>
    <row r="194" ht="94.5" customFormat="1" customHeight="1" s="84"/>
    <row r="195" ht="120.75" customHeight="1"/>
    <row r="196" ht="57.75" customFormat="1" customHeight="1" s="84"/>
    <row r="197" ht="59.25" customHeight="1"/>
    <row r="198" ht="92.25" customHeight="1"/>
    <row r="199" ht="92.25" customHeight="1"/>
    <row r="200" ht="59.25" customHeight="1"/>
    <row r="201" ht="75.75" customHeight="1"/>
    <row r="202" ht="59.25" customHeight="1"/>
    <row r="203" ht="33" customHeight="1"/>
    <row r="204" ht="39" customHeight="1"/>
    <row r="205" ht="36" customHeight="1"/>
    <row r="206" ht="109.5" customHeight="1"/>
    <row r="207" ht="85.5" customHeight="1"/>
    <row r="208" ht="162" customHeight="1"/>
    <row r="209" ht="59.25" customHeight="1"/>
    <row r="210" ht="144.75" customHeight="1"/>
    <row r="211" ht="128.25" customHeight="1"/>
    <row r="212" ht="155.25" customHeight="1"/>
    <row r="213" ht="89.25" customHeight="1"/>
    <row r="214" ht="66" customHeight="1"/>
    <row r="215" ht="114" customHeight="1"/>
    <row r="216" ht="78.75" customHeight="1"/>
    <row r="217" ht="140.25" customHeight="1"/>
    <row r="218" ht="127.5" customHeight="1"/>
    <row r="219" ht="94.5" customHeight="1"/>
    <row r="220" ht="94.5" customFormat="1" customHeight="1" s="84"/>
    <row r="221" ht="63" customHeight="1"/>
    <row r="222" ht="37.5" customFormat="1" customHeight="1" s="84"/>
    <row r="223" ht="59.25" customHeight="1"/>
    <row r="224" ht="31.5" customFormat="1" customHeight="1" s="84"/>
    <row r="225" ht="94.5" customHeight="1"/>
    <row r="226" ht="92.25" customHeight="1"/>
    <row r="227" ht="134.25" customHeight="1"/>
    <row r="228" ht="59.25" customHeight="1"/>
    <row r="229" ht="63" customFormat="1" customHeight="1" s="84"/>
    <row r="230" ht="36" customHeight="1"/>
    <row r="231" ht="59.25" customHeight="1"/>
    <row r="232" ht="108.75" customHeight="1"/>
    <row r="233" ht="59.25" customHeight="1"/>
    <row r="234" ht="120.75" customHeight="1"/>
    <row r="235" ht="59.25" customHeight="1"/>
    <row r="236" ht="63" customFormat="1" customHeight="1" s="84"/>
    <row r="237" ht="82.5" customHeight="1"/>
    <row r="238" ht="37.5" customFormat="1" customHeight="1" s="84"/>
    <row r="239" ht="104.25" customHeight="1"/>
    <row r="240" ht="69" customHeight="1"/>
    <row r="241" ht="59.25" customHeight="1"/>
    <row r="242" ht="59.25" customHeight="1"/>
    <row r="243" ht="31.5" customFormat="1" customHeight="1" s="84"/>
    <row r="244" ht="131.25" customHeight="1"/>
    <row r="245" ht="99" customHeight="1"/>
    <row r="246" ht="26.25" customHeight="1"/>
    <row r="247" ht="27.75" customHeight="1"/>
    <row r="248" ht="93" customHeight="1"/>
    <row r="249" ht="41.25" customHeight="1"/>
    <row r="250" ht="116.25" customHeight="1"/>
    <row r="251" ht="134.25" customHeight="1"/>
    <row r="252" ht="31.5" customFormat="1" customHeight="1" s="84"/>
    <row r="253" ht="26.25" customHeight="1"/>
    <row r="254" ht="26.25" customHeight="1"/>
    <row r="255" ht="69" customHeight="1"/>
    <row r="256" ht="59.25" customHeight="1"/>
    <row r="257" ht="120" customHeight="1"/>
    <row r="258" ht="129" customHeight="1"/>
    <row r="259" ht="79.5" customHeight="1"/>
    <row r="260" ht="59.25" customHeight="1"/>
    <row r="261" ht="31.5" customFormat="1" customHeight="1" s="84"/>
    <row r="262" ht="97.5" customHeight="1"/>
    <row r="263" ht="143.25" customHeight="1"/>
    <row r="264" ht="135.75" customHeight="1"/>
    <row r="265" ht="59.25" customHeight="1"/>
    <row r="266" ht="31.5" customFormat="1" customHeight="1" s="84"/>
    <row r="267" ht="59.25" customHeight="1"/>
    <row r="268" ht="204.75" customHeight="1"/>
    <row r="269" ht="216" customHeight="1"/>
    <row r="270" ht="59.25" customHeight="1"/>
    <row r="271" ht="59.25" customHeight="1"/>
    <row r="272" ht="93.75" customHeight="1"/>
    <row r="273" ht="84" customHeight="1"/>
    <row r="274" ht="60.75" customFormat="1" customHeight="1" s="84"/>
    <row r="275" ht="39" customHeight="1"/>
    <row r="276" ht="87.75" customHeight="1"/>
    <row r="277" ht="52.5" customHeight="1"/>
    <row r="278" ht="51.75" customHeight="1"/>
    <row r="279" ht="90.75" customHeight="1"/>
    <row r="280" ht="77.25" customHeight="1"/>
    <row r="281" ht="115.5" customHeight="1"/>
    <row r="282" ht="59.25" customHeight="1"/>
    <row r="283" ht="37.5" customHeight="1"/>
    <row r="284" ht="176.25" customHeight="1"/>
    <row r="285" ht="104.25" customHeight="1"/>
    <row r="286" ht="34.5" customHeight="1"/>
    <row r="287" ht="93" customHeight="1"/>
    <row r="288" ht="93.75" customHeight="1"/>
    <row r="289" ht="123" customHeight="1"/>
    <row r="290" ht="75.75" customHeight="1"/>
    <row r="291" ht="37.5" customHeight="1"/>
    <row r="292" ht="34.5" customHeight="1"/>
    <row r="293" ht="42.75" customHeight="1"/>
    <row r="294" ht="37.5" customHeight="1"/>
    <row r="295" ht="66.75" customHeight="1"/>
    <row r="296" ht="74.25" customHeight="1"/>
    <row r="297" ht="59.25" customHeight="1"/>
    <row r="298" ht="97.5" customHeight="1"/>
    <row r="299" ht="59.25" customHeight="1"/>
    <row r="300" ht="45.75" customHeight="1"/>
    <row r="301" ht="57.75" customHeight="1"/>
    <row r="302" ht="114" customHeight="1"/>
    <row r="303" ht="96" customHeight="1"/>
    <row r="304" ht="134.25" customHeight="1"/>
    <row r="305" ht="74.25" customHeight="1"/>
    <row r="306" ht="59.25" customHeight="1"/>
    <row r="307" ht="144.75" customHeight="1"/>
    <row r="308" ht="72.75" customHeight="1"/>
    <row r="309" ht="115.5" customHeight="1"/>
    <row r="310" ht="59.25" customHeight="1"/>
    <row r="311" ht="133.5" customHeight="1"/>
    <row r="312" ht="85.5" customHeight="1"/>
    <row r="313" ht="132.75" customHeight="1"/>
    <row r="314" ht="176.25" customHeight="1"/>
    <row r="315" ht="31.5" customFormat="1" customHeight="1" s="84"/>
    <row r="316" ht="100.5" customHeight="1"/>
    <row r="317" ht="84" customHeight="1"/>
    <row r="318" ht="31.5" customFormat="1" customHeight="1" s="84"/>
    <row r="319" ht="66" customHeight="1"/>
    <row r="320" ht="181.5" customHeight="1"/>
    <row r="321" ht="298.5" customHeight="1"/>
    <row r="322" ht="70.5" customHeight="1"/>
    <row r="323" ht="63" customHeight="1"/>
    <row r="324" ht="125.25" customHeight="1"/>
    <row r="325" ht="201" customHeight="1"/>
    <row r="326" ht="63" customFormat="1" customHeight="1" s="84"/>
    <row r="327" ht="74.25" customHeight="1"/>
    <row r="328" ht="74.25" customHeight="1"/>
    <row r="329" ht="74.25" customHeight="1"/>
    <row r="330" ht="74.25" customHeight="1"/>
    <row r="331" ht="107.25" customHeight="1"/>
    <row r="332" ht="74.25" customHeight="1"/>
    <row r="333" ht="89.25" customHeight="1"/>
    <row r="334" ht="74.25" customHeight="1"/>
    <row r="335" ht="74.25" customHeight="1"/>
    <row r="336" ht="74.25" customHeight="1"/>
    <row r="337" ht="45.75" customHeight="1"/>
    <row r="338" ht="74.25" customHeight="1"/>
    <row r="339" ht="74.25" customHeight="1"/>
    <row r="340" ht="74.25" customHeight="1"/>
    <row r="341" ht="153" customHeight="1"/>
    <row r="342" ht="93" customHeight="1"/>
    <row r="343" ht="74.25" customHeight="1"/>
    <row r="344" ht="126" customHeight="1"/>
    <row r="345" ht="63" customFormat="1" customHeight="1" s="84"/>
  </sheetData>
  <mergeCells count="1">
    <mergeCell ref="E4:F4"/>
  </mergeCells>
  <pageMargins left="0.7086614173228347" right="0.7086614173228347" top="0.7480314960629921" bottom="0.7480314960629921" header="0.3149606299212598" footer="0.3149606299212598"/>
  <pageSetup orientation="landscape" paperSize="9" scale="14"/>
  <headerFooter>
    <oddHeader>&amp;LIT 3 535-11_x000a_Anexo 4 (11.22)&amp;C&amp;20 REQUISITOS ESPECÍFICOS CLIENTES- ANÁLISE DA CONFORMIDADE</oddHeader>
    <oddFooter>&amp;L&amp;"Arial"&amp;7 &amp;K000000_x000d_# [Internal]&amp;CPágina &amp;P de &amp;N&amp;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26"/>
  <sheetViews>
    <sheetView showGridLines="0" view="pageLayout" zoomScaleNormal="100" workbookViewId="0">
      <selection activeCell="D11" sqref="D11"/>
    </sheetView>
  </sheetViews>
  <sheetFormatPr baseColWidth="8" defaultRowHeight="15"/>
  <cols>
    <col width="13.140625" customWidth="1" min="2" max="2"/>
    <col width="20.85546875" customWidth="1" min="4" max="4"/>
    <col width="42.28515625" customWidth="1" min="5" max="5"/>
  </cols>
  <sheetData>
    <row r="2">
      <c r="D2" t="inlineStr">
        <is>
          <t>Conformidade</t>
        </is>
      </c>
    </row>
    <row r="3" ht="30" customHeight="1">
      <c r="B3" s="3" t="inlineStr">
        <is>
          <t>Novo</t>
        </is>
      </c>
      <c r="D3" s="41" t="inlineStr">
        <is>
          <t>Complies</t>
        </is>
      </c>
      <c r="E3" s="2" t="inlineStr">
        <is>
          <t>Cumprimos na totalidade</t>
        </is>
      </c>
    </row>
    <row r="4" ht="16.5" customHeight="1">
      <c r="B4" s="4" t="inlineStr">
        <is>
          <t>Alterado</t>
        </is>
      </c>
      <c r="D4" s="39" t="inlineStr">
        <is>
          <t>Agreed</t>
        </is>
      </c>
      <c r="E4" s="2" t="inlineStr">
        <is>
          <t>Quando solicitado pelo cliente</t>
        </is>
      </c>
    </row>
    <row r="5" ht="16.5" customHeight="1">
      <c r="B5" s="5" t="inlineStr">
        <is>
          <t>S/ alteração</t>
        </is>
      </c>
      <c r="D5" s="40" t="inlineStr">
        <is>
          <t>Do not comply</t>
        </is>
      </c>
    </row>
    <row r="6" ht="16.5" customHeight="1">
      <c r="B6" s="2" t="inlineStr">
        <is>
          <t>Revisto</t>
        </is>
      </c>
      <c r="D6" s="40" t="inlineStr">
        <is>
          <t>Not assessed</t>
        </is>
      </c>
    </row>
    <row r="7" ht="16.5" customHeight="1">
      <c r="D7" s="40" t="inlineStr">
        <is>
          <t>Action required</t>
        </is>
      </c>
    </row>
    <row r="8" ht="16.5" customHeight="1">
      <c r="D8" s="40" t="inlineStr">
        <is>
          <t>Acknowledged</t>
        </is>
      </c>
    </row>
    <row r="9" ht="16.5" customHeight="1">
      <c r="D9" s="40" t="inlineStr">
        <is>
          <t>Not applicable</t>
        </is>
      </c>
    </row>
    <row r="10" ht="20.45" customHeight="1"/>
    <row r="12" ht="15.75" customHeight="1">
      <c r="D12" s="74" t="inlineStr">
        <is>
          <t>ACTION STATUS</t>
        </is>
      </c>
    </row>
    <row r="13">
      <c r="D13" t="inlineStr">
        <is>
          <t>TO BE DETERMINED</t>
        </is>
      </c>
    </row>
    <row r="14">
      <c r="D14" t="inlineStr">
        <is>
          <t>IN PROGRESS</t>
        </is>
      </c>
    </row>
    <row r="15">
      <c r="D15" t="inlineStr">
        <is>
          <t>CLOSED</t>
        </is>
      </c>
    </row>
    <row r="16">
      <c r="D16" t="inlineStr">
        <is>
          <t>OVERDUE</t>
        </is>
      </c>
    </row>
    <row r="23">
      <c r="D23" t="inlineStr">
        <is>
          <t>Processos</t>
        </is>
      </c>
    </row>
    <row r="24">
      <c r="C24" t="inlineStr">
        <is>
          <t>R</t>
        </is>
      </c>
      <c r="D24" s="27" t="inlineStr">
        <is>
          <t xml:space="preserve">Processo Líder </t>
        </is>
      </c>
    </row>
    <row r="25">
      <c r="C25" t="inlineStr">
        <is>
          <t>C</t>
        </is>
      </c>
      <c r="D25" s="27" t="inlineStr">
        <is>
          <t>participa no processo</t>
        </is>
      </c>
    </row>
    <row r="26">
      <c r="C26" t="inlineStr">
        <is>
          <t>I</t>
        </is>
      </c>
      <c r="D26" t="inlineStr">
        <is>
          <t>Informativo</t>
        </is>
      </c>
    </row>
  </sheetData>
  <pageMargins left="0.7" right="0.7" top="0.75" bottom="0.75" header="0.3" footer="0.3"/>
  <pageSetup orientation="portrait" paperSize="9" horizontalDpi="360" verticalDpi="360"/>
  <headerFooter>
    <oddHeader/>
    <oddFooter>&amp;L&amp;"Arial"&amp;7 &amp;K000000_x000d_# [Internal]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LEONI COMPLY-AI</dc:creator>
  <dc:title xmlns:dc="http://purl.org/dc/elements/1.1/">IT 3535-11 Anexo 4 template</dc:title>
  <dcterms:created xmlns:dcterms="http://purl.org/dc/terms/" xmlns:xsi="http://www.w3.org/2001/XMLSchema-instance" xsi:type="dcterms:W3CDTF">2017-11-30T14:42:56Z</dcterms:created>
  <dcterms:modified xmlns:dcterms="http://purl.org/dc/terms/" xmlns:xsi="http://www.w3.org/2001/XMLSchema-instance" xsi:type="dcterms:W3CDTF">2026-10-28T13:55:33Z</dcterms:modified>
  <cp:lastModifiedBy>LEONI COMPLY-AI</cp:lastModifiedBy>
  <cp:lastPrinted>2023-05-22T12:53:30Z</cp:lastPrinted>
</cp:coreProperties>
</file>

<file path=docProps/custom.xml><?xml version="1.0" encoding="utf-8"?>
<Properties xmlns="http://schemas.openxmlformats.org/officeDocument/2006/custom-properties">
  <property name="MSIP_Label_43c1c031-4620-46ba-8d17-94284d681a00_Enabled" fmtid="{D5CDD505-2E9C-101B-9397-08002B2CF9AE}" pid="2">
    <vt:lpwstr xmlns:vt="http://schemas.openxmlformats.org/officeDocument/2006/docPropsVTypes">true</vt:lpwstr>
  </property>
  <property name="MSIP_Label_43c1c031-4620-46ba-8d17-94284d681a00_SetDate" fmtid="{D5CDD505-2E9C-101B-9397-08002B2CF9AE}" pid="3">
    <vt:lpwstr xmlns:vt="http://schemas.openxmlformats.org/officeDocument/2006/docPropsVTypes">2025-05-06T06:57:32Z</vt:lpwstr>
  </property>
  <property name="MSIP_Label_43c1c031-4620-46ba-8d17-94284d681a00_Method" fmtid="{D5CDD505-2E9C-101B-9397-08002B2CF9AE}" pid="4">
    <vt:lpwstr xmlns:vt="http://schemas.openxmlformats.org/officeDocument/2006/docPropsVTypes">Standard</vt:lpwstr>
  </property>
  <property name="MSIP_Label_43c1c031-4620-46ba-8d17-94284d681a00_Name" fmtid="{D5CDD505-2E9C-101B-9397-08002B2CF9AE}" pid="5">
    <vt:lpwstr xmlns:vt="http://schemas.openxmlformats.org/officeDocument/2006/docPropsVTypes">43c1c031-4620-46ba-8d17-94284d681a00</vt:lpwstr>
  </property>
  <property name="MSIP_Label_43c1c031-4620-46ba-8d17-94284d681a00_SiteId" fmtid="{D5CDD505-2E9C-101B-9397-08002B2CF9AE}" pid="6">
    <vt:lpwstr xmlns:vt="http://schemas.openxmlformats.org/officeDocument/2006/docPropsVTypes">601e50db-f61c-4594-8e2e-260c58d3cfa1</vt:lpwstr>
  </property>
  <property name="MSIP_Label_43c1c031-4620-46ba-8d17-94284d681a00_ActionId" fmtid="{D5CDD505-2E9C-101B-9397-08002B2CF9AE}" pid="7">
    <vt:lpwstr xmlns:vt="http://schemas.openxmlformats.org/officeDocument/2006/docPropsVTypes">4f38f632-0347-4559-ac29-0bee9120bde6</vt:lpwstr>
  </property>
  <property name="MSIP_Label_43c1c031-4620-46ba-8d17-94284d681a00_ContentBits" fmtid="{D5CDD505-2E9C-101B-9397-08002B2CF9AE}" pid="8">
    <vt:lpwstr xmlns:vt="http://schemas.openxmlformats.org/officeDocument/2006/docPropsVTypes">2</vt:lpwstr>
  </property>
  <property name="MSIP_Label_43c1c031-4620-46ba-8d17-94284d681a00_Tag" fmtid="{D5CDD505-2E9C-101B-9397-08002B2CF9AE}" pid="9">
    <vt:lpwstr xmlns:vt="http://schemas.openxmlformats.org/officeDocument/2006/docPropsVTypes">10, 3, 0, 1</vt:lpwstr>
  </property>
</Properties>
</file>